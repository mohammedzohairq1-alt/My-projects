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Zohair\Downloads\"/>
    </mc:Choice>
  </mc:AlternateContent>
  <xr:revisionPtr revIDLastSave="0" documentId="13_ncr:1_{BDEC12D0-1B0C-479D-8619-A8D72056534D}"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ivot Tables" sheetId="2" r:id="rId2"/>
    <sheet name="Dashboard" sheetId="3" r:id="rId3"/>
  </sheets>
  <definedNames>
    <definedName name="Slicer_PaymentMethod">#N/A</definedName>
    <definedName name="Slicer_Years__Date">#N/A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5FE6E-F2F0-487C-8854-9C7E09A7F2ED}" keepAlive="1" name="Query - Table1" description="Connection to the 'Table1' query in the workbook." type="5" refreshedVersion="8"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<sst xmlns="http://schemas.openxmlformats.org/spreadsheetml/2006/main" count="10567" uniqueCount="4303">
  <si>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</si>
  <si>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</si>
  <si>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</si>
  <si>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</si>
  <si>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</si>
  <si>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</si>
  <si>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</si>
  <si>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</si>
  <si>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</si>
  <si>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</si>
  <si>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</si>
  <si>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</si>
  <si>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</si>
  <si>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</si>
  <si>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</si>
  <si>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</si>
  <si>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</si>
  <si>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</si>
  <si>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</si>
  <si>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</si>
  <si>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</si>
  <si>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</si>
  <si>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</si>
  <si>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</si>
  <si>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</si>
  <si>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</si>
  <si>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</si>
  <si>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</si>
  <si>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</si>
  <si>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</si>
  <si>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</si>
  <si>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</si>
  <si>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</si>
  <si>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</si>
  <si>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</si>
  <si>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</si>
  <si>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</si>
  <si>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</si>
  <si>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</si>
  <si>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</si>
  <si>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</si>
  <si>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</si>
  <si>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</si>
  <si>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</si>
  <si>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</si>
  <si>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</si>
  <si>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</si>
  <si>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</si>
  <si>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</si>
  <si>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</si>
  <si>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</si>
  <si>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</si>
  <si>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</si>
  <si>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</si>
  <si>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</si>
  <si>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</si>
  <si>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</si>
  <si>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</si>
  <si>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</si>
  <si>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</si>
  <si>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</si>
  <si>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</si>
  <si>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</si>
  <si>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</si>
  <si>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</si>
  <si>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</si>
  <si>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</si>
  <si>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</si>
  <si>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</si>
  <si>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</si>
  <si>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</si>
  <si>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</si>
  <si>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</si>
  <si>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</si>
  <si>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</si>
  <si>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</si>
  <si>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</si>
  <si>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</si>
  <si>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</si>
  <si>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</si>
  <si>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</si>
  <si>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</si>
  <si>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</si>
  <si>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</si>
  <si>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</si>
  <si>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</si>
  <si>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</si>
  <si>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</si>
  <si>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</si>
  <si>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</si>
  <si>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</si>
  <si>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</si>
  <si>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</si>
  <si>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</si>
  <si>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</si>
  <si>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</si>
  <si>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</si>
  <si>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</si>
  <si>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</si>
  <si>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</si>
  <si>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</si>
  <si>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</si>
  <si>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</si>
  <si>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</si>
  <si>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</si>
  <si>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</si>
  <si>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</si>
  <si>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</si>
  <si>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</si>
  <si>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</si>
  <si>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</si>
  <si>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</si>
  <si>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</si>
  <si>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</si>
  <si>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</si>
  <si>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</si>
  <si>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</si>
  <si>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</si>
  <si>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</si>
  <si>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</si>
  <si>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</si>
  <si>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</si>
  <si>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</si>
  <si>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</si>
  <si>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</si>
  <si>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</si>
  <si>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</si>
  <si>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</si>
  <si>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</si>
  <si>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</si>
  <si>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</si>
  <si>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</si>
  <si>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</si>
  <si>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</si>
  <si>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</si>
  <si>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</si>
  <si>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</si>
  <si>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</si>
  <si>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</si>
  <si>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</si>
  <si>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</si>
  <si>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</si>
  <si>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</si>
  <si>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</si>
  <si>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</si>
  <si>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</si>
  <si>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</si>
  <si>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</si>
  <si>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</si>
  <si>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</si>
  <si>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</si>
  <si>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</si>
  <si>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</si>
  <si>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</si>
  <si>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</si>
  <si>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</si>
  <si>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</si>
  <si>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</si>
  <si>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</si>
  <si>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</si>
  <si>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</si>
  <si>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</si>
  <si>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</si>
  <si>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</si>
  <si>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</si>
  <si>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</si>
  <si>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</si>
  <si>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</si>
  <si>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</si>
  <si>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</si>
  <si>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</si>
  <si>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</si>
  <si>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</si>
  <si>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</si>
  <si>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</si>
  <si>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</si>
  <si>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</si>
  <si>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</si>
  <si>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</si>
  <si>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</si>
  <si>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</si>
  <si>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</si>
  <si>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</si>
  <si>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</si>
  <si>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</si>
  <si>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</si>
  <si>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</si>
  <si>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</si>
  <si>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</si>
  <si>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</si>
  <si>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</si>
  <si>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</si>
  <si>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</si>
  <si>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</si>
  <si>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</si>
  <si>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</si>
  <si>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</si>
  <si>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</si>
  <si>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</si>
  <si>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</si>
  <si>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</si>
  <si>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</si>
  <si>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</si>
  <si>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</si>
  <si>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</si>
  <si>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</si>
  <si>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</si>
  <si>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</si>
  <si>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</si>
  <si>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</si>
  <si>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</si>
  <si>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</si>
  <si>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</si>
  <si>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</si>
  <si>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</si>
  <si>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</si>
  <si>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</si>
  <si>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</si>
  <si>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</si>
  <si>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</si>
  <si>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</si>
  <si>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</si>
  <si>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</si>
  <si>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</si>
  <si>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</si>
  <si>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</si>
  <si>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</si>
  <si>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</si>
  <si>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</si>
  <si>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</si>
  <si>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</si>
  <si>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</si>
  <si>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</si>
  <si>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</si>
  <si>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</si>
  <si>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</si>
  <si>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</si>
  <si>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</si>
  <si>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</si>
  <si>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</si>
  <si>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</si>
  <si>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</si>
  <si>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</si>
  <si>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</si>
  <si>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</si>
  <si>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</si>
  <si>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</si>
  <si>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</si>
  <si>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</si>
  <si>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</si>
  <si>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</si>
  <si>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</si>
  <si>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</si>
  <si>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</si>
  <si>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</si>
  <si>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</si>
  <si>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</si>
  <si>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</si>
  <si>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</si>
  <si>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</si>
  <si>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</si>
  <si>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</si>
  <si>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</si>
  <si>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</si>
  <si>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</si>
  <si>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</si>
  <si>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</si>
  <si>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</si>
  <si>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</si>
  <si>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</si>
  <si>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</si>
  <si>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</si>
  <si>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</si>
  <si>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</si>
  <si>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</si>
  <si>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</si>
  <si>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</si>
  <si>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</si>
  <si>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</si>
  <si>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</si>
  <si>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</si>
  <si>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</si>
  <si>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</si>
  <si>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</si>
  <si>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</si>
  <si>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</si>
  <si>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</si>
  <si>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</si>
  <si>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</si>
  <si>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</si>
  <si>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</si>
  <si>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</si>
  <si>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</si>
  <si>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</si>
  <si>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</si>
  <si>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</si>
  <si>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</si>
  <si>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</si>
  <si>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</si>
  <si>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</si>
  <si>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</si>
  <si>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</si>
  <si>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</si>
  <si>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</si>
  <si>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</si>
  <si>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</si>
  <si>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</si>
  <si>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</si>
  <si>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</si>
  <si>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</si>
  <si>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</si>
  <si>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</si>
  <si>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</si>
  <si>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</si>
  <si>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</si>
  <si>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</si>
  <si>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</si>
  <si>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</si>
  <si>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</si>
  <si>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</si>
  <si>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</si>
  <si>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</si>
  <si>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</si>
  <si>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</si>
  <si>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</si>
  <si>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</si>
  <si>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</si>
  <si>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</si>
  <si>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</si>
  <si>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</si>
  <si>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</si>
  <si>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</si>
  <si>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</si>
  <si>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</si>
  <si>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</si>
  <si>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</si>
  <si>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</si>
  <si>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</si>
  <si>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</si>
  <si>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</si>
  <si>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</si>
  <si>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</si>
  <si>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</si>
  <si>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</si>
  <si>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</si>
  <si>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</si>
  <si>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</si>
  <si>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</si>
  <si>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</si>
  <si>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</si>
  <si>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</si>
  <si>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</si>
  <si>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</si>
  <si>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</si>
  <si>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</si>
  <si>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</si>
  <si>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</si>
  <si>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</si>
  <si>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</si>
  <si>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</si>
  <si>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</si>
  <si>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</si>
  <si>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</si>
  <si>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</si>
  <si>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</si>
  <si>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</si>
  <si>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</si>
  <si>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</si>
  <si>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</si>
  <si>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</si>
  <si>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</si>
  <si>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</si>
  <si>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</si>
  <si>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</si>
  <si>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</si>
  <si>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</si>
  <si>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</si>
  <si>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</si>
  <si>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</si>
  <si>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</si>
  <si>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</si>
  <si>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</si>
  <si>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</si>
  <si>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</si>
  <si>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</si>
  <si>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</si>
  <si>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</si>
  <si>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</si>
  <si>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</si>
  <si>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</si>
  <si>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</si>
  <si>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</si>
  <si>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</si>
  <si>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</si>
  <si>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</si>
  <si>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</si>
  <si>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</si>
  <si>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</si>
  <si>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</si>
  <si>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</si>
  <si>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</si>
  <si>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</si>
  <si>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</si>
  <si>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</si>
  <si>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</si>
  <si>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</si>
  <si>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</si>
  <si>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</si>
  <si>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</si>
  <si>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</si>
  <si>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</si>
  <si>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</si>
  <si>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</si>
  <si>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</si>
  <si>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</si>
  <si>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</si>
  <si>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</si>
  <si>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</si>
  <si>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</si>
  <si>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</si>
  <si>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</si>
  <si>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</si>
  <si>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</si>
  <si>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</si>
  <si>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</si>
  <si>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</si>
  <si>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</si>
  <si>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</si>
  <si>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</si>
  <si>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</si>
  <si>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</si>
  <si>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</si>
  <si>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</si>
  <si>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</si>
  <si>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</si>
  <si>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</si>
  <si>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</si>
  <si>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</si>
  <si>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</si>
  <si>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</si>
  <si>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</si>
  <si>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</si>
  <si>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</si>
  <si>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</si>
  <si>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</si>
  <si>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</si>
  <si>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</si>
  <si>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</si>
  <si>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</si>
  <si>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</si>
  <si>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</si>
  <si>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</si>
  <si>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</si>
  <si>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</si>
  <si>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</si>
  <si>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</si>
  <si>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</si>
  <si>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</si>
  <si>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</si>
  <si>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</si>
  <si>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</si>
  <si>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</si>
  <si>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</si>
  <si>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</si>
  <si>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</si>
  <si>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</si>
  <si>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</si>
  <si>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</si>
  <si>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</si>
  <si>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</si>
  <si>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</si>
  <si>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</si>
  <si>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</si>
  <si>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</si>
  <si>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</si>
  <si>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</si>
  <si>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</si>
  <si>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</si>
  <si>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</si>
  <si>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</si>
  <si>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</si>
  <si>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</si>
  <si>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</si>
  <si>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</si>
  <si>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</si>
  <si>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</si>
  <si>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</si>
  <si>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</si>
  <si>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</si>
  <si>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</si>
  <si>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</si>
  <si>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</si>
  <si>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</si>
  <si>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</si>
  <si>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</si>
  <si>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</si>
  <si>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</si>
  <si>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</si>
  <si>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</si>
  <si>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</si>
  <si>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</si>
  <si>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</si>
  <si>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</si>
  <si>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</si>
  <si>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</si>
  <si>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</si>
  <si>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</si>
  <si>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</si>
  <si>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</si>
  <si>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</si>
  <si>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</si>
  <si>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</si>
  <si>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</si>
  <si>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</si>
  <si>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</si>
  <si>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</si>
  <si>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</si>
  <si>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</si>
  <si>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</si>
  <si>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</si>
  <si>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</si>
  <si>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</si>
  <si>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</si>
  <si>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</si>
  <si>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</si>
  <si>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</si>
  <si>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</si>
  <si>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</si>
  <si>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</si>
  <si>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</si>
  <si>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</si>
  <si>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</si>
  <si>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</si>
  <si>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</si>
  <si>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</si>
  <si>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</si>
  <si>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</si>
  <si>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</si>
  <si>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</si>
  <si>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</si>
  <si>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</si>
  <si>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</si>
  <si>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</si>
  <si>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</si>
  <si>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</si>
  <si>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</si>
  <si>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</si>
  <si>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</si>
  <si>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</si>
  <si>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</si>
  <si>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</si>
  <si>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</si>
  <si>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</si>
  <si>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</si>
  <si>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</si>
  <si>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</si>
  <si>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</si>
  <si>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</si>
  <si>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</si>
  <si>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</si>
  <si>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</si>
  <si>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</si>
  <si>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</si>
  <si>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</si>
  <si>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</si>
  <si>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</si>
  <si>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</si>
  <si>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</si>
  <si>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</si>
  <si>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</si>
  <si>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</si>
  <si>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</si>
  <si>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</si>
  <si>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</si>
  <si>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</si>
  <si>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</si>
  <si>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</si>
  <si>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</si>
  <si>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</si>
  <si>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</si>
  <si>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</si>
  <si>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</si>
  <si>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</si>
  <si>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</si>
  <si>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</si>
  <si>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</si>
  <si>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</si>
  <si>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</si>
  <si>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</si>
  <si>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</si>
  <si>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</si>
  <si>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</si>
  <si>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</si>
  <si>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</si>
  <si>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</si>
  <si>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</si>
  <si>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</si>
  <si>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</si>
  <si>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</si>
  <si>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</si>
  <si>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</si>
  <si>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</si>
  <si>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</si>
  <si>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</si>
  <si>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</si>
  <si>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</si>
  <si>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</si>
  <si>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</si>
  <si>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</si>
  <si>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</si>
  <si>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</si>
  <si>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</si>
  <si>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</si>
  <si>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</si>
  <si>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</si>
  <si>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</si>
  <si>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</si>
  <si>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</si>
  <si>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</si>
  <si>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</si>
  <si>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</si>
  <si>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</si>
  <si>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</si>
  <si>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</si>
  <si>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</si>
  <si>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</si>
  <si>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</si>
  <si>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</si>
  <si>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</si>
  <si>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</si>
  <si>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</si>
  <si>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</si>
  <si>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</si>
  <si>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</si>
  <si>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</si>
  <si>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</si>
  <si>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</si>
  <si>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</si>
  <si>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</si>
  <si>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</si>
  <si>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</si>
  <si>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</si>
  <si>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</si>
  <si>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</si>
  <si>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</si>
  <si>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</si>
  <si>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</si>
  <si>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</si>
  <si>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</si>
  <si>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</si>
  <si>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</si>
  <si>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</si>
  <si>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</si>
  <si>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</si>
  <si>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</si>
  <si>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</si>
  <si>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</si>
  <si>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</si>
  <si>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</si>
  <si>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</si>
  <si>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</si>
  <si>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</si>
  <si>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</si>
  <si>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</si>
  <si>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</si>
  <si>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</si>
  <si>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</si>
  <si>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</si>
  <si>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</si>
  <si>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</si>
  <si>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</si>
  <si>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</si>
  <si>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</si>
  <si>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</si>
  <si>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</si>
  <si>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</si>
  <si>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</si>
  <si>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</si>
  <si>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</si>
  <si>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</si>
  <si>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</si>
  <si>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</si>
  <si>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</si>
  <si>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</si>
  <si>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</si>
  <si>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</si>
  <si>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</si>
  <si>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</si>
  <si>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</si>
  <si>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</si>
  <si>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</si>
  <si>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</si>
  <si>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</si>
  <si>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</si>
  <si>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</si>
  <si>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</si>
  <si>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</si>
  <si>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</si>
  <si>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</si>
  <si>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</si>
  <si>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</si>
  <si>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</si>
  <si>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</si>
  <si>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</si>
  <si>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</si>
  <si>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</si>
  <si>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</si>
  <si>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</si>
  <si>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</si>
  <si>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</si>
  <si>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</si>
  <si>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</si>
  <si>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</si>
  <si>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</si>
  <si>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</si>
  <si>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</si>
  <si>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</si>
  <si>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</si>
  <si>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</si>
  <si>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</si>
  <si>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</si>
  <si>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</si>
  <si>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</si>
  <si>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</si>
  <si>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</si>
  <si>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</si>
  <si>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</si>
  <si>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</si>
  <si>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</si>
  <si>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</si>
  <si>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</si>
  <si>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</si>
  <si>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</si>
  <si>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</si>
  <si>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</si>
  <si>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</si>
  <si>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</si>
  <si>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</si>
  <si>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</si>
  <si>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</si>
  <si>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</si>
  <si>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</si>
  <si>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</si>
  <si>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</si>
  <si>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</si>
  <si>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</si>
  <si>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</si>
  <si>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</si>
  <si>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</si>
  <si>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</si>
  <si>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</si>
  <si>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</si>
  <si>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</si>
  <si>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</si>
  <si>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</si>
  <si>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</si>
  <si>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</si>
  <si>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</si>
  <si>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</si>
  <si>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</si>
  <si>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</si>
  <si>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</si>
  <si>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</si>
  <si>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</si>
  <si>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</si>
  <si>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</si>
  <si>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</si>
  <si>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</si>
  <si>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</si>
  <si>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</si>
  <si>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</si>
  <si>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</si>
  <si>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</si>
  <si>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</si>
  <si>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</si>
  <si>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</si>
  <si>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</si>
  <si>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</si>
  <si>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</si>
  <si>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</si>
  <si>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</si>
  <si>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</si>
  <si>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</si>
  <si>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</si>
  <si>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</si>
  <si>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</si>
  <si>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</si>
  <si>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</si>
  <si>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</si>
  <si>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</si>
  <si>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</si>
  <si>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</si>
  <si>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</si>
  <si>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</si>
  <si>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</si>
  <si>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</si>
  <si>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</si>
  <si>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</si>
  <si>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</si>
  <si>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</si>
  <si>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</si>
  <si>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</si>
  <si>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</si>
  <si>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</si>
  <si>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</si>
  <si>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</si>
  <si>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</si>
  <si>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</si>
  <si>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</si>
  <si>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</si>
  <si>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</si>
  <si>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</si>
  <si>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</si>
  <si>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</si>
  <si>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</si>
  <si>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</si>
  <si>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</si>
  <si>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</si>
  <si>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</si>
  <si>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</si>
  <si>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</si>
  <si>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</si>
  <si>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</si>
  <si>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</si>
  <si>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</si>
  <si>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</si>
  <si>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</si>
  <si>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</si>
  <si>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</si>
  <si>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</si>
  <si>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</si>
  <si>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</si>
  <si>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</si>
  <si>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</si>
  <si>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</si>
  <si>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</si>
  <si>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</si>
  <si>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</si>
  <si>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</si>
  <si>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</si>
  <si>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</si>
  <si>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</si>
  <si>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</si>
  <si>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</si>
  <si>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</si>
  <si>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</si>
  <si>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</si>
  <si>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</si>
  <si>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</si>
  <si>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</si>
  <si>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</si>
  <si>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</si>
  <si>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</si>
  <si>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</si>
  <si>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</si>
  <si>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</si>
  <si>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</si>
  <si>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</si>
  <si>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</si>
  <si>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</si>
  <si>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</si>
  <si>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</si>
  <si>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</si>
  <si>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</si>
  <si>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</si>
  <si>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</si>
  <si>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</si>
  <si>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</si>
  <si>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</si>
  <si>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</si>
  <si>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</si>
  <si>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</si>
  <si>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</si>
  <si>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</si>
  <si>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</si>
  <si>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</si>
  <si>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</si>
  <si>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</si>
  <si>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</si>
  <si>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</si>
  <si>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</si>
  <si>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</si>
  <si>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</si>
  <si>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</si>
  <si>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</si>
  <si>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</si>
  <si>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</si>
  <si>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</si>
  <si>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</si>
  <si>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</si>
  <si>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</si>
  <si>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</si>
  <si>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</si>
  <si>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</si>
  <si>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</si>
  <si>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</si>
  <si>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</si>
  <si>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</si>
  <si>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</si>
  <si>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</si>
  <si>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</si>
  <si>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</si>
  <si>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</si>
  <si>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</si>
  <si>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</si>
  <si>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</si>
  <si>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</si>
  <si>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</si>
  <si>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</si>
  <si>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</si>
  <si>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</si>
  <si>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</si>
  <si>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</si>
  <si>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</si>
  <si>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</si>
  <si>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</si>
  <si>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</si>
  <si>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</si>
  <si>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</si>
  <si>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</si>
  <si>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</si>
  <si>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</si>
  <si>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</si>
  <si>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</si>
  <si>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</si>
  <si>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</si>
  <si>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</si>
  <si>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</si>
  <si>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</si>
  <si>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</si>
  <si>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</si>
  <si>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</si>
  <si>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</si>
  <si>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</si>
  <si>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</si>
  <si>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</si>
  <si>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</si>
  <si>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</si>
  <si>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</si>
  <si>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</si>
  <si>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</si>
  <si>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</si>
  <si>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</si>
  <si>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</si>
  <si>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</si>
  <si>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</si>
  <si>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</si>
  <si>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</si>
  <si>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</si>
  <si>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</si>
  <si>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</si>
  <si>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</si>
  <si>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</si>
  <si>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</si>
  <si>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</si>
  <si>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</si>
  <si>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</si>
  <si>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</si>
  <si>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</si>
  <si>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</si>
  <si>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</si>
  <si>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</si>
  <si>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</si>
  <si>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</si>
  <si>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</si>
  <si>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</si>
  <si>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</si>
  <si>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</si>
  <si>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</si>
  <si>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</si>
  <si>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</si>
  <si>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</si>
  <si>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</si>
  <si>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</si>
  <si>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</si>
  <si>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</si>
  <si>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</si>
  <si>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</si>
  <si>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</si>
  <si>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</si>
  <si>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</si>
  <si>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</si>
  <si>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</si>
  <si>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</si>
  <si>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</si>
  <si>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</si>
  <si>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</si>
  <si>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</si>
  <si>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</si>
  <si>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</si>
  <si>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</si>
  <si>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</si>
  <si>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</si>
  <si>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</si>
  <si>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</si>
  <si>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</si>
  <si>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</si>
  <si>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</si>
  <si>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</si>
  <si>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</si>
  <si>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</si>
  <si>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</si>
  <si>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</si>
  <si>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</si>
  <si>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</si>
  <si>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</si>
  <si>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</si>
  <si>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</si>
  <si>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</si>
  <si>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</si>
  <si>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</si>
  <si>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</si>
  <si>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</si>
  <si>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</si>
  <si>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</si>
  <si>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</si>
  <si>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</si>
  <si>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</si>
  <si>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</si>
  <si>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</si>
  <si>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</si>
  <si>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</si>
  <si>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</si>
  <si>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</si>
  <si>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</si>
  <si>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</si>
  <si>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</si>
  <si>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</si>
  <si>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</si>
  <si>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</si>
  <si>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</si>
  <si>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</si>
  <si>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</si>
  <si>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</si>
  <si>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</si>
  <si>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</si>
  <si>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</si>
  <si>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</si>
  <si>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</si>
  <si>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</si>
  <si>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</si>
  <si>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</si>
  <si>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</si>
  <si>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</si>
  <si>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</si>
  <si>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</si>
  <si>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</si>
  <si>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</si>
  <si>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</si>
  <si>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</si>
  <si>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</si>
  <si>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</si>
  <si>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</si>
  <si>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</si>
  <si>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</si>
  <si>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</si>
  <si>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</si>
  <si>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</si>
  <si>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</si>
  <si>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</si>
  <si>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</si>
  <si>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</si>
  <si>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</si>
  <si>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</si>
  <si>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</si>
  <si>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</si>
  <si>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</si>
  <si>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</si>
  <si>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</si>
  <si>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</si>
  <si>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</si>
  <si>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</si>
  <si>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</si>
  <si>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</si>
  <si>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</si>
  <si>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</si>
  <si>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</si>
  <si>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</si>
  <si>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</si>
  <si>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</si>
  <si>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</si>
  <si>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</si>
  <si>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</si>
  <si>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</si>
  <si>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</si>
  <si>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</si>
  <si>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</si>
  <si>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</si>
  <si>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</si>
  <si>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</si>
  <si>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</si>
  <si>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</si>
  <si>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</si>
  <si>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</si>
  <si>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</si>
  <si>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</si>
  <si>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</si>
  <si>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</si>
  <si>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</si>
  <si>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</si>
  <si>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</si>
  <si>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</si>
  <si>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</si>
  <si>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</si>
  <si>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</si>
  <si>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</si>
  <si>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</si>
  <si>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</si>
  <si>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</si>
  <si>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</si>
  <si>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</si>
  <si>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</si>
  <si>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</si>
  <si>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</si>
  <si>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</si>
  <si>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</si>
  <si>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</si>
  <si>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</si>
  <si>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</si>
  <si>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</si>
  <si>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</si>
  <si>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</si>
  <si>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</si>
  <si>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</si>
  <si>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</si>
  <si>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</si>
  <si>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</si>
  <si>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</si>
  <si>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</si>
  <si>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</si>
  <si>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</si>
  <si>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</si>
  <si>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</si>
  <si>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</si>
  <si>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</si>
  <si>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</si>
  <si>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</si>
  <si>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</si>
  <si>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</si>
  <si>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</si>
  <si>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</si>
  <si>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</si>
  <si>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</si>
  <si>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</si>
  <si>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</si>
  <si>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</si>
  <si>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</si>
  <si>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</si>
  <si>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</si>
  <si>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</si>
  <si>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</si>
  <si>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</si>
  <si>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</si>
  <si>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</si>
  <si>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</si>
  <si>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</si>
  <si>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</si>
  <si>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</si>
  <si>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</si>
  <si>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</si>
  <si>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</si>
  <si>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</si>
  <si>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</si>
  <si>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</si>
  <si>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</si>
  <si>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</si>
  <si>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</si>
  <si>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</si>
  <si>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</si>
  <si>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</si>
  <si>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</si>
  <si>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</si>
  <si>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</si>
  <si>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</si>
  <si>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</si>
  <si>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</si>
  <si>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</si>
  <si>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</si>
  <si>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</si>
  <si>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</si>
  <si>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</si>
  <si>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</si>
  <si>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</si>
  <si>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</si>
  <si>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</si>
  <si>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</si>
  <si>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</si>
  <si>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</si>
  <si>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</si>
  <si>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</si>
  <si>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</si>
  <si>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</si>
  <si>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</si>
  <si>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</si>
  <si>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</si>
  <si>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</si>
  <si>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</si>
  <si>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</si>
  <si>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</si>
  <si>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</si>
  <si>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</si>
  <si>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</si>
  <si>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</si>
  <si>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</si>
  <si>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</si>
  <si>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</si>
  <si>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</si>
  <si>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</si>
  <si>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</si>
  <si>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</si>
  <si>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</si>
  <si>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</si>
  <si>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</si>
  <si>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</si>
  <si>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</si>
  <si>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</si>
  <si>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</si>
  <si>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</si>
  <si>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</si>
  <si>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</si>
  <si>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</si>
  <si>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</si>
  <si>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</si>
  <si>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</si>
  <si>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</si>
  <si>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</si>
  <si>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</si>
  <si>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</si>
  <si>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</si>
  <si>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</si>
  <si>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</si>
  <si>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</si>
  <si>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</si>
  <si>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</si>
  <si>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</si>
  <si>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</si>
  <si>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</si>
  <si>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</si>
  <si>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</si>
  <si>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</si>
  <si>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</si>
  <si>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</si>
  <si>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</si>
  <si>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</si>
  <si>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</si>
  <si>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</si>
  <si>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</si>
  <si>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</si>
  <si>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</si>
  <si>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</si>
  <si>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</si>
  <si>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</si>
  <si>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</si>
  <si>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</si>
  <si>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</si>
  <si>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</si>
  <si>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</si>
  <si>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</si>
  <si>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</si>
  <si>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</si>
  <si>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</si>
  <si>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</si>
  <si>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</si>
  <si>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</si>
  <si>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</si>
  <si>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</si>
  <si>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</si>
  <si>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</si>
  <si>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</si>
  <si>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</si>
  <si>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</si>
  <si>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</si>
  <si>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</si>
  <si>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</si>
  <si>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</si>
  <si>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</si>
  <si>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</si>
  <si>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</si>
  <si>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</si>
  <si>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</si>
  <si>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</si>
  <si>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</si>
  <si>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</si>
  <si>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</si>
  <si>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</si>
  <si>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</si>
  <si>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</si>
  <si>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</si>
  <si>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</si>
  <si>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</si>
  <si>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</si>
  <si>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</si>
  <si>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</si>
  <si>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</si>
  <si>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</si>
  <si>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</si>
  <si>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</si>
  <si>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</si>
  <si>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</si>
  <si>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</si>
  <si>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</si>
  <si>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</si>
  <si>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</si>
  <si>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</si>
  <si>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</si>
  <si>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</si>
  <si>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</si>
  <si>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</si>
  <si>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</si>
  <si>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</si>
  <si>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</si>
  <si>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</si>
  <si>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</si>
  <si>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</si>
  <si>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</si>
  <si>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</si>
  <si>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</si>
  <si>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</si>
  <si>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</si>
  <si>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</si>
  <si>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</si>
  <si>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</si>
  <si>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</si>
  <si>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</si>
  <si>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</si>
  <si>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</si>
  <si>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</si>
  <si>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</si>
  <si>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</si>
  <si>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</si>
  <si>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</si>
  <si>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</si>
  <si>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</si>
  <si>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</si>
  <si>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</si>
  <si>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</si>
  <si>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</si>
  <si>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</si>
  <si>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</si>
  <si>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</si>
  <si>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</si>
  <si>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</si>
  <si>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</si>
  <si>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</si>
  <si>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</si>
  <si>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</si>
  <si>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</si>
  <si>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</si>
  <si>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</si>
  <si>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</si>
  <si>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</si>
  <si>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</si>
  <si>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</si>
  <si>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</si>
  <si>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</si>
  <si>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</si>
  <si>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</si>
  <si>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</si>
  <si>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</si>
  <si>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</si>
  <si>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</si>
  <si>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</si>
  <si>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</si>
  <si>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</si>
  <si>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</si>
  <si>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</si>
  <si>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</si>
  <si>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</si>
  <si>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</si>
  <si>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</si>
  <si>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</si>
  <si>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</si>
  <si>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</si>
  <si>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</si>
  <si>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</si>
  <si>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</si>
  <si>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</si>
  <si>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</si>
  <si>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</si>
  <si>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</si>
  <si>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</si>
  <si>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</si>
  <si>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</si>
  <si>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</si>
  <si>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</si>
  <si>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</si>
  <si>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</si>
  <si>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</si>
  <si>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</si>
  <si>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</si>
  <si>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</si>
  <si>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</si>
  <si>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</si>
  <si>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</si>
  <si>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</si>
  <si>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</si>
  <si>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</si>
  <si>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</si>
  <si>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</si>
  <si>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</si>
  <si>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</si>
  <si>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</si>
  <si>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</si>
  <si>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</si>
  <si>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</si>
  <si>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</si>
  <si>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</si>
  <si>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</si>
  <si>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</si>
  <si>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</si>
  <si>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</si>
  <si>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</si>
  <si>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</si>
  <si>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</si>
  <si>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</si>
  <si>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</si>
  <si>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</si>
  <si>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</si>
  <si>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</si>
  <si>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</si>
  <si>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</si>
  <si>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</si>
  <si>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</si>
  <si>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</si>
  <si>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</si>
  <si>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</si>
  <si>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</si>
  <si>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</si>
  <si>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</si>
  <si>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</si>
  <si>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</si>
  <si>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</si>
  <si>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</si>
  <si>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</si>
  <si>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</si>
  <si>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</si>
  <si>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</si>
  <si>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</si>
  <si>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</si>
  <si>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</si>
  <si>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</si>
  <si>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</si>
  <si>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</si>
  <si>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</si>
  <si>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</si>
  <si>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</si>
  <si>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</si>
  <si>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</si>
  <si>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</si>
  <si>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</si>
  <si>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</si>
  <si>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</si>
  <si>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</si>
  <si>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</si>
  <si>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</si>
  <si>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</si>
  <si>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</si>
  <si>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</si>
  <si>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</si>
  <si>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</si>
  <si>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</si>
  <si>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</si>
  <si>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</si>
  <si>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</si>
  <si>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</si>
  <si>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</si>
  <si>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</si>
  <si>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</si>
  <si>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</si>
  <si>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</si>
  <si>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</si>
  <si>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</si>
  <si>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</si>
  <si>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</si>
  <si>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</si>
  <si>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</si>
  <si>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</si>
  <si>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</si>
  <si>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</si>
  <si>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</si>
  <si>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</si>
  <si>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</si>
  <si>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</si>
  <si>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</si>
  <si>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</si>
  <si>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</si>
  <si>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</si>
  <si>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</si>
  <si>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</si>
  <si>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</si>
  <si>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</si>
  <si>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</si>
  <si>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</si>
  <si>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</si>
  <si>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</si>
  <si>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</si>
  <si>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</si>
  <si>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</si>
  <si>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</si>
  <si>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</si>
  <si>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</si>
  <si>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</si>
  <si>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</si>
  <si>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</si>
  <si>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</si>
  <si>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</si>
  <si>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</si>
  <si>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</si>
  <si>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</si>
  <si>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</si>
  <si>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</si>
  <si>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</si>
  <si>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</si>
  <si>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</si>
  <si>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</si>
  <si>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</si>
  <si>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</si>
  <si>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</si>
  <si>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</si>
  <si>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</si>
  <si>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</si>
  <si>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</si>
  <si>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</si>
  <si>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</si>
  <si>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</si>
  <si>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</si>
  <si>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</si>
  <si>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</si>
  <si>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</si>
  <si>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</si>
  <si>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</si>
  <si>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</si>
  <si>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</si>
  <si>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</si>
  <si>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</si>
  <si>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</si>
  <si>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</si>
  <si>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</si>
  <si>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</si>
  <si>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</si>
  <si>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</si>
  <si>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</si>
  <si>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</si>
  <si>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</si>
  <si>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</si>
  <si>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</si>
  <si>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</si>
  <si>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</si>
  <si>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</si>
  <si>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</si>
  <si>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</si>
  <si>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</si>
  <si>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</si>
  <si>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</si>
  <si>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</si>
  <si>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</si>
  <si>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</si>
  <si>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</si>
  <si>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</si>
  <si>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</si>
  <si>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</si>
  <si>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</si>
  <si>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</si>
  <si>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</si>
  <si>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</si>
  <si>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</si>
  <si>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</si>
  <si>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</si>
  <si>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</si>
  <si>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</si>
  <si>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</si>
  <si>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</si>
  <si>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</si>
  <si>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</si>
  <si>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</si>
  <si>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</si>
  <si>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</si>
  <si>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</si>
  <si>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</si>
  <si>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</si>
  <si>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</si>
  <si>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</si>
  <si>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</si>
  <si>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</si>
  <si>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</si>
  <si>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</si>
  <si>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</si>
  <si>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</si>
  <si>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</si>
  <si>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</si>
  <si>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</si>
  <si>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</si>
  <si>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</si>
  <si>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</si>
  <si>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</si>
  <si>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</si>
  <si>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</si>
  <si>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</si>
  <si>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</si>
  <si>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</si>
  <si>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</si>
  <si>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</si>
  <si>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</si>
  <si>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</si>
  <si>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</si>
  <si>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</si>
  <si>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</si>
  <si>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</si>
  <si>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</si>
  <si>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</si>
  <si>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</si>
  <si>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</si>
  <si>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</si>
  <si>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</si>
  <si>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</si>
  <si>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</si>
  <si>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</si>
  <si>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</si>
  <si>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</si>
  <si>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</si>
  <si>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</si>
  <si>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</si>
  <si>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</si>
  <si>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</si>
  <si>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</si>
  <si>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</si>
  <si>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</si>
  <si>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</si>
  <si>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</si>
  <si>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</si>
  <si>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</si>
  <si>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</si>
  <si>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</si>
  <si>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</si>
  <si>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</si>
  <si>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</si>
  <si>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</si>
  <si>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</si>
  <si>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</si>
  <si>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</si>
  <si>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</si>
  <si>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</si>
  <si>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</si>
  <si>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</si>
  <si>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</si>
  <si>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</si>
  <si>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</si>
  <si>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</si>
  <si>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</si>
  <si>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</si>
  <si>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</si>
  <si>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</si>
  <si>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</si>
  <si>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</si>
  <si>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</si>
  <si>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</si>
  <si>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</si>
  <si>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</si>
  <si>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</si>
  <si>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</si>
  <si>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</si>
  <si>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</si>
  <si>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</si>
  <si>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</si>
  <si>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</si>
  <si>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</si>
  <si>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</si>
  <si>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</si>
  <si>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</si>
  <si>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</si>
  <si>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</si>
  <si>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</si>
  <si>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</si>
  <si>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</si>
  <si>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</si>
  <si>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</si>
  <si>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</si>
  <si>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</si>
  <si>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</si>
  <si>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</si>
  <si>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</si>
  <si>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</si>
  <si>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</si>
  <si>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</si>
  <si>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</si>
  <si>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</si>
  <si>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</si>
  <si>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</si>
  <si>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</si>
  <si>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</si>
  <si>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</si>
  <si>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</si>
  <si>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</si>
  <si>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</si>
  <si>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</si>
  <si>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</si>
  <si>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</si>
  <si>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</si>
  <si>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</si>
  <si>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</si>
  <si>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</si>
  <si>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</si>
  <si>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</si>
  <si>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</si>
  <si>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</si>
  <si>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</si>
  <si>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</si>
  <si>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</si>
  <si>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</si>
  <si>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</si>
  <si>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</si>
  <si>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</si>
  <si>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</si>
  <si>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</si>
  <si>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</si>
  <si>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</si>
  <si>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</si>
  <si>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</si>
  <si>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</si>
  <si>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</si>
  <si>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</si>
  <si>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</si>
  <si>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</si>
  <si>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</si>
  <si>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</si>
  <si>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</si>
  <si>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</si>
  <si>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</si>
  <si>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</si>
  <si>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</si>
  <si>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</si>
  <si>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</si>
  <si>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</si>
  <si>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</si>
  <si>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</si>
  <si>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</si>
  <si>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</si>
  <si>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</si>
  <si>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</si>
  <si>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</si>
  <si>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</si>
  <si>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</si>
  <si>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</si>
  <si>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</si>
  <si>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</si>
  <si>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</si>
  <si>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</si>
  <si>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</si>
  <si>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</si>
  <si>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</si>
  <si>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</si>
  <si>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</si>
  <si>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</si>
  <si>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</si>
  <si>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</si>
  <si>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</si>
  <si>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</si>
  <si>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</si>
  <si>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</si>
  <si>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</si>
  <si>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</si>
  <si>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</si>
  <si>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</si>
  <si>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</si>
  <si>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</si>
  <si>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</si>
  <si>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</si>
  <si>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</si>
  <si>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</si>
  <si>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</si>
  <si>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</si>
  <si>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</si>
  <si>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</si>
  <si>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</si>
  <si>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</si>
  <si>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</si>
  <si>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</si>
  <si>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</si>
  <si>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</si>
  <si>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</si>
  <si>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</si>
  <si>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</si>
  <si>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</si>
  <si>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</si>
  <si>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</si>
  <si>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</si>
  <si>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</si>
  <si>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</si>
  <si>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</si>
  <si>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</si>
  <si>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</si>
  <si>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</si>
  <si>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</si>
  <si>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</si>
  <si>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</si>
  <si>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</si>
  <si>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</si>
  <si>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</si>
  <si>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</si>
  <si>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</si>
  <si>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</si>
  <si>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</si>
  <si>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</si>
  <si>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</si>
  <si>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</si>
  <si>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</si>
  <si>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</si>
  <si>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</si>
  <si>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</si>
  <si>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</si>
  <si>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</si>
  <si>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</si>
  <si>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</si>
  <si>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</si>
  <si>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</si>
  <si>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</si>
  <si>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</si>
  <si>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</si>
  <si>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</si>
  <si>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</si>
  <si>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</si>
  <si>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</si>
  <si>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</si>
  <si>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</si>
  <si>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</si>
  <si>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</si>
  <si>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</si>
  <si>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</si>
  <si>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</si>
  <si>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</si>
  <si>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</si>
  <si>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</si>
  <si>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</si>
  <si>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</si>
  <si>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</si>
  <si>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</si>
  <si>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</si>
  <si>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</si>
  <si>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</si>
  <si>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</si>
  <si>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</si>
  <si>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</si>
  <si>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</si>
  <si>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</si>
  <si>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</si>
  <si>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</si>
  <si>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</si>
  <si>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</si>
  <si>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</si>
  <si>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</si>
  <si>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</si>
  <si>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</si>
  <si>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</si>
  <si>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</si>
  <si>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</si>
  <si>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</si>
  <si>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</si>
  <si>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</si>
  <si>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</si>
  <si>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</si>
  <si>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</si>
  <si>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</si>
  <si>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</si>
  <si>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</si>
  <si>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</si>
  <si>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</si>
  <si>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</si>
  <si>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</si>
  <si>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</si>
  <si>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</si>
  <si>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</si>
  <si>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</si>
  <si>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</si>
  <si>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</si>
  <si>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</si>
  <si>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</si>
  <si>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</si>
  <si>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</si>
  <si>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</si>
  <si>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</si>
  <si>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</si>
  <si>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</si>
  <si>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</si>
  <si>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</si>
  <si>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</si>
  <si>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</si>
  <si>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</si>
  <si>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</si>
  <si>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</si>
  <si>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</si>
  <si>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</si>
  <si>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</si>
  <si>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</si>
  <si>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</si>
  <si>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</si>
  <si>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</si>
  <si>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</si>
  <si>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</si>
  <si>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</si>
  <si>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</si>
  <si>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</si>
  <si>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</si>
  <si>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</si>
  <si>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</si>
  <si>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</si>
  <si>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</si>
  <si>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</si>
  <si>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</si>
  <si>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</si>
  <si>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</si>
  <si>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</si>
  <si>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</si>
  <si>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</si>
  <si>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</si>
  <si>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</si>
  <si>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</si>
  <si>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</si>
  <si>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</si>
  <si>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</si>
  <si>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</si>
  <si>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</si>
  <si>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</si>
  <si>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</si>
  <si>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</si>
  <si>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</si>
  <si>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</si>
  <si>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</si>
  <si>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</si>
  <si>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</si>
  <si>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</si>
  <si>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</si>
  <si>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</si>
  <si>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</si>
  <si>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</si>
  <si>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</si>
  <si>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</si>
  <si>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</si>
  <si>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</si>
  <si>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</si>
  <si>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</si>
  <si>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</si>
  <si>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</si>
  <si>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</si>
  <si>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</si>
  <si>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</si>
  <si>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</si>
  <si>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</si>
  <si>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</si>
  <si>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</si>
  <si>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</si>
  <si>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</si>
  <si>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</si>
  <si>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</si>
  <si>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</si>
  <si>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</si>
  <si>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</si>
  <si>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</si>
  <si>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</si>
  <si>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</si>
  <si>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</si>
  <si>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</si>
  <si>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</si>
  <si>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</si>
  <si>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</si>
  <si>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</si>
  <si>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</si>
  <si>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</si>
  <si>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</si>
  <si>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</si>
  <si>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</si>
  <si>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</si>
  <si>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</si>
  <si>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</si>
  <si>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</si>
  <si>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</si>
  <si>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</si>
  <si>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</si>
  <si>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</si>
  <si>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</si>
  <si>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</si>
  <si>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</si>
  <si>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</si>
  <si>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</si>
  <si>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</si>
  <si>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</si>
  <si>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</si>
  <si>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</si>
  <si>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</si>
  <si>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</si>
  <si>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</si>
  <si>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</si>
  <si>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</si>
  <si>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</si>
  <si>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</si>
  <si>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</si>
  <si>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</si>
  <si>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</si>
  <si>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</si>
  <si>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</si>
  <si>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</si>
  <si>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</si>
  <si>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</si>
  <si>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</si>
  <si>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</si>
  <si>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</si>
  <si>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</si>
  <si>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</si>
  <si>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</si>
  <si>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</si>
  <si>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</si>
  <si>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</si>
  <si>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</si>
  <si>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</si>
  <si>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</si>
  <si>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</si>
  <si>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</si>
  <si>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</si>
  <si>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</si>
  <si>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</si>
  <si>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</si>
  <si>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</si>
  <si>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</si>
  <si>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</si>
  <si>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</si>
  <si>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</si>
  <si>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</si>
  <si>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</si>
  <si>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</si>
  <si>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</si>
  <si>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</si>
  <si>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</si>
  <si>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</si>
  <si>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</si>
  <si>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</si>
  <si>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</si>
  <si>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</si>
  <si>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</si>
  <si>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</si>
  <si>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</si>
  <si>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</si>
  <si>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</si>
  <si>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</si>
  <si>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</si>
  <si>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</si>
  <si>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</si>
  <si>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</si>
  <si>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</si>
  <si>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</si>
  <si>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</si>
  <si>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</si>
  <si>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</si>
  <si>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</si>
  <si>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</si>
  <si>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</si>
  <si>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</si>
  <si>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</si>
  <si>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</si>
  <si>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</si>
  <si>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</si>
  <si>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</si>
  <si>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</si>
  <si>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</si>
  <si>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</si>
  <si>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</si>
  <si>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</si>
  <si>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</si>
  <si>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</si>
  <si>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</si>
  <si>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</si>
  <si>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</si>
  <si>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</si>
  <si>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</si>
  <si>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</si>
  <si>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</si>
  <si>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</si>
  <si>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</si>
  <si>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</si>
  <si>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</si>
  <si>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</si>
  <si>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</si>
  <si>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</si>
  <si>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</si>
  <si>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</si>
  <si>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</si>
  <si>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</si>
  <si>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</si>
  <si>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</si>
  <si>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</si>
  <si>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</si>
  <si>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</si>
  <si>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</si>
  <si>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</si>
  <si>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</si>
  <si>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</si>
  <si>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</si>
  <si>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</si>
  <si>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</si>
  <si>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</si>
  <si>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</si>
  <si>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</si>
  <si>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</si>
  <si>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</si>
  <si>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</si>
  <si>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</si>
  <si>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</si>
  <si>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</si>
  <si>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</si>
  <si>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</si>
  <si>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</si>
  <si>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</si>
  <si>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</si>
  <si>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</si>
  <si>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</si>
  <si>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</si>
  <si>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</si>
  <si>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</si>
  <si>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</si>
  <si>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</si>
  <si>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</si>
  <si>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</si>
  <si>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</si>
  <si>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</si>
  <si>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</si>
  <si>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</si>
  <si>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</si>
  <si>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</si>
  <si>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</si>
  <si>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</si>
  <si>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</si>
  <si>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</si>
  <si>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</si>
  <si>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</si>
  <si>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</si>
  <si>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</si>
  <si>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</si>
  <si>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</si>
  <si>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</si>
  <si>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</si>
  <si>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</si>
  <si>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</si>
  <si>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</si>
  <si>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</si>
  <si>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</si>
  <si>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</si>
  <si>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</si>
  <si>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</si>
  <si>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</si>
  <si>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</si>
  <si>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</si>
  <si>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</si>
  <si>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</si>
  <si>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</si>
  <si>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</si>
  <si>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</si>
  <si>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</si>
  <si>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</si>
  <si>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</si>
  <si>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</si>
  <si>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</si>
  <si>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</si>
  <si>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</si>
  <si>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</si>
  <si>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</si>
  <si>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</si>
  <si>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</si>
  <si>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</si>
  <si>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</si>
  <si>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</si>
  <si>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</si>
  <si>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</si>
  <si>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</si>
  <si>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</si>
  <si>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</si>
  <si>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</si>
  <si>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</si>
  <si>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</si>
  <si>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</si>
  <si>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</si>
  <si>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</si>
  <si>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</si>
  <si>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</si>
  <si>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</si>
  <si>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</si>
  <si>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</si>
  <si>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</si>
  <si>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</si>
  <si>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</si>
  <si>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</si>
  <si>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</si>
  <si>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</si>
  <si>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</si>
  <si>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</si>
  <si>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</si>
  <si>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</si>
  <si>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</si>
  <si>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</si>
  <si>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</si>
  <si>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</si>
  <si>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</si>
  <si>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</si>
  <si>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</si>
  <si>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</si>
  <si>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</si>
  <si>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</si>
  <si>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</si>
  <si>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</si>
  <si>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</si>
  <si>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</si>
  <si>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</si>
  <si>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</si>
  <si>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</si>
  <si>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</si>
  <si>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</si>
  <si>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</si>
  <si>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</si>
  <si>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</si>
  <si>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</si>
  <si>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</si>
  <si>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</si>
  <si>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</si>
  <si>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</si>
  <si>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</si>
  <si>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</si>
  <si>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</si>
  <si>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</si>
  <si>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</si>
  <si>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</si>
  <si>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</si>
  <si>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</si>
  <si>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</si>
  <si>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</si>
  <si>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</si>
  <si>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</si>
  <si>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</si>
  <si>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</si>
  <si>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</si>
  <si>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</si>
  <si>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</si>
  <si>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</si>
  <si>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</si>
  <si>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</si>
  <si>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</si>
  <si>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</si>
  <si>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</si>
  <si>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</si>
  <si>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</si>
  <si>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</si>
  <si>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</si>
  <si>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</si>
  <si>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</si>
  <si>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</si>
  <si>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</si>
  <si>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</si>
  <si>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</si>
  <si>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</si>
  <si>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</si>
  <si>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</si>
  <si>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</si>
  <si>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</si>
  <si>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</si>
  <si>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</si>
  <si>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</si>
  <si>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</si>
  <si>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</si>
  <si>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</si>
  <si>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</si>
  <si>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</si>
  <si>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</si>
  <si>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</si>
  <si>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</si>
  <si>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</si>
  <si>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</si>
  <si>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</si>
  <si>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</si>
  <si>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</si>
  <si>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</si>
  <si>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</si>
  <si>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</si>
  <si>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</si>
  <si>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</si>
  <si>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</si>
  <si>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</si>
  <si>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</si>
  <si>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</si>
  <si>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</si>
  <si>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</si>
  <si>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</si>
  <si>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</si>
  <si>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</si>
  <si>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</si>
  <si>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</si>
  <si>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</si>
  <si>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</si>
  <si>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</si>
  <si>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</si>
  <si>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</si>
  <si>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</si>
  <si>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</si>
  <si>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</si>
  <si>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</si>
  <si>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</si>
  <si>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</si>
  <si>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</si>
  <si>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</si>
  <si>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</si>
  <si>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</si>
  <si>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</si>
  <si>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</si>
  <si>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</si>
  <si>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</si>
  <si>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</si>
  <si>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</si>
  <si>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</si>
  <si>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</si>
  <si>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</si>
  <si>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</si>
  <si>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</si>
  <si>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</si>
  <si>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</si>
  <si>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</si>
  <si>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</si>
  <si>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</si>
  <si>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</si>
  <si>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</si>
  <si>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</si>
  <si>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</si>
  <si>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</si>
  <si>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</si>
  <si>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</si>
  <si>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</si>
  <si>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</si>
  <si>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</si>
  <si>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</si>
  <si>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</si>
  <si>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</si>
  <si>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</si>
  <si>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</si>
  <si>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</si>
  <si>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</si>
  <si>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</si>
  <si>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</si>
  <si>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</si>
  <si>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</si>
  <si>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</si>
  <si>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</si>
  <si>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</si>
  <si>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</si>
  <si>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</si>
  <si>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</si>
  <si>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</si>
  <si>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</si>
  <si>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</si>
  <si>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</si>
  <si>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</si>
  <si>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</si>
  <si>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</si>
  <si>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</si>
  <si>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</si>
  <si>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</si>
  <si>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</si>
  <si>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</si>
  <si>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</si>
  <si>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</si>
  <si>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</si>
  <si>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</si>
  <si>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</si>
  <si>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</si>
  <si>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</si>
  <si>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</si>
  <si>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</si>
  <si>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</si>
  <si>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</si>
  <si>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</si>
  <si>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</si>
  <si>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</si>
  <si>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</si>
  <si>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</si>
  <si>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</si>
  <si>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</si>
  <si>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</si>
  <si>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</si>
  <si>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</si>
  <si>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</si>
  <si>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</si>
  <si>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</si>
  <si>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</si>
  <si>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</si>
  <si>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</si>
  <si>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</si>
  <si>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</si>
  <si>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</si>
  <si>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</si>
  <si>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</si>
  <si>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</si>
  <si>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</si>
  <si>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</si>
  <si>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</si>
  <si>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</si>
  <si>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</si>
  <si>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</si>
  <si>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</si>
  <si>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</si>
  <si>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</si>
  <si>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</si>
  <si>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</si>
  <si>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</si>
  <si>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</si>
  <si>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</si>
  <si>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</si>
  <si>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</si>
  <si>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</si>
  <si>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</si>
  <si>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</si>
  <si>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</si>
  <si>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</si>
  <si>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</si>
  <si>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</si>
  <si>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</si>
  <si>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</si>
  <si>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</si>
  <si>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</si>
  <si>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</si>
  <si>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</si>
  <si>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</si>
  <si>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</si>
  <si>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</si>
  <si>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</si>
  <si>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</si>
  <si>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</si>
  <si>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</si>
  <si>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</si>
  <si>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</si>
  <si>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</si>
  <si>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</si>
  <si>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</si>
  <si>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</si>
  <si>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</si>
  <si>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</si>
  <si>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</si>
  <si>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</si>
  <si>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</si>
  <si>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</si>
  <si>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</si>
  <si>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</si>
  <si>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</si>
  <si>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</si>
  <si>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</si>
  <si>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</si>
  <si>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</si>
  <si>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</si>
  <si>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</si>
  <si>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</si>
  <si>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</si>
  <si>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</si>
  <si>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</si>
  <si>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</si>
  <si>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</si>
  <si>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</si>
  <si>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</si>
  <si>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</si>
  <si>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</si>
  <si>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</si>
  <si>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</si>
  <si>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</si>
  <si>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</si>
  <si>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</si>
  <si>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</si>
  <si>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</si>
  <si>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</si>
  <si>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</si>
  <si>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</si>
  <si>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</si>
  <si>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</si>
  <si>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</si>
  <si>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</si>
  <si>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</si>
  <si>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</si>
  <si>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</si>
  <si>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</si>
  <si>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</si>
  <si>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</si>
  <si>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</si>
  <si>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</si>
  <si>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</si>
  <si>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</si>
  <si>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</si>
  <si>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</si>
  <si>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</si>
  <si>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</si>
  <si>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</si>
  <si>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</si>
  <si>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</si>
  <si>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</si>
  <si>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</si>
  <si>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</si>
  <si>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</si>
  <si>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</si>
  <si>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</si>
  <si>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</si>
  <si>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</si>
  <si>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</si>
  <si>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</si>
  <si>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</si>
  <si>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</si>
  <si>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</si>
  <si>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</si>
  <si>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</si>
  <si>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</si>
  <si>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</si>
  <si>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</si>
  <si>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</si>
  <si>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</si>
  <si>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</si>
  <si>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</si>
  <si>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</si>
  <si>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</si>
  <si>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</si>
  <si>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</si>
  <si>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</si>
  <si>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</si>
  <si>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</si>
  <si>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</si>
  <si>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</si>
  <si>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</si>
  <si>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</si>
  <si>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</si>
  <si>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</si>
  <si>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</si>
  <si>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</si>
  <si>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</si>
  <si>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</si>
  <si>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</si>
  <si>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</si>
  <si>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</si>
  <si>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</si>
  <si>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</si>
  <si>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</si>
  <si>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</si>
  <si>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</si>
  <si>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</si>
  <si>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</si>
  <si>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</si>
  <si>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</si>
  <si>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</si>
  <si>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</si>
  <si>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</si>
  <si>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</si>
  <si>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</si>
  <si>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</si>
  <si>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</si>
  <si>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</si>
  <si>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</si>
  <si>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</si>
  <si>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</si>
  <si>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</si>
  <si>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</si>
  <si>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</si>
  <si>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</si>
  <si>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</si>
  <si>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</si>
  <si>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</si>
  <si>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</si>
  <si>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</si>
  <si>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</si>
  <si>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</si>
  <si>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</si>
  <si>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</si>
  <si>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</si>
  <si>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</si>
  <si>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</si>
  <si>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</si>
  <si>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</si>
  <si>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</si>
  <si>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</si>
  <si>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</si>
  <si>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</si>
  <si>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</si>
  <si>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</si>
  <si>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</si>
  <si>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</si>
  <si>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</si>
  <si>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</si>
  <si>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</si>
  <si>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</si>
  <si>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</si>
  <si>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</si>
  <si>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</si>
  <si>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</si>
  <si>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</si>
  <si>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</si>
  <si>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</si>
  <si>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</si>
  <si>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</si>
  <si>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</si>
  <si>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</si>
  <si>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</si>
  <si>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</si>
  <si>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</si>
  <si>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</si>
  <si>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</si>
  <si>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</si>
  <si>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</si>
  <si>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</si>
  <si>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</si>
  <si>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</si>
  <si>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</si>
  <si>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</si>
  <si>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</si>
  <si>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</si>
  <si>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</si>
  <si>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</si>
  <si>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</si>
  <si>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</si>
  <si>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</si>
  <si>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</si>
  <si>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</si>
  <si>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</si>
  <si>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</si>
  <si>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</si>
  <si>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</si>
  <si>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</si>
  <si>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</si>
  <si>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</si>
  <si>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</si>
  <si>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</si>
  <si>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</si>
  <si>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</si>
  <si>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</si>
  <si>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</si>
  <si>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</si>
  <si>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</si>
  <si>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</si>
  <si>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</si>
  <si>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</si>
  <si>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</si>
  <si>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</si>
  <si>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</si>
  <si>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</si>
  <si>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</si>
  <si>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</si>
  <si>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</si>
  <si>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</si>
  <si>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</si>
  <si>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</si>
  <si>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</si>
  <si>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</si>
  <si>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</si>
  <si>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</si>
  <si>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</si>
  <si>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</si>
  <si>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</si>
  <si>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</si>
  <si>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</si>
  <si>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</si>
  <si>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</si>
  <si>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</si>
  <si>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</si>
  <si>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</si>
  <si>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</si>
  <si>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</si>
  <si>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</si>
  <si>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</si>
  <si>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</si>
  <si>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</si>
  <si>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</si>
  <si>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</si>
  <si>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</si>
  <si>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</si>
  <si>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</si>
  <si>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</si>
  <si>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</si>
  <si>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</si>
  <si>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</si>
  <si>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</si>
  <si>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</si>
  <si>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</si>
  <si>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</si>
  <si>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</si>
  <si>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</si>
  <si>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</si>
  <si>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</si>
  <si>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</si>
  <si>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</si>
  <si>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</si>
  <si>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</si>
  <si>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</si>
  <si>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</si>
  <si>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</si>
  <si>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</si>
  <si>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</si>
  <si>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</si>
  <si>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</si>
  <si>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</si>
  <si>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</si>
  <si>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</si>
  <si>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</si>
  <si>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</si>
  <si>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</si>
  <si>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</si>
  <si>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</si>
  <si>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</si>
  <si>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</si>
  <si>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</si>
  <si>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</si>
  <si>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</si>
  <si>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</si>
  <si>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</si>
  <si>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</si>
  <si>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</si>
  <si>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</si>
  <si>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</si>
  <si>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</si>
  <si>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</si>
  <si>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</si>
  <si>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</si>
  <si>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</si>
  <si>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</si>
  <si>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</si>
  <si>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</si>
  <si>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</si>
  <si>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</si>
  <si>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</si>
  <si>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</si>
  <si>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</si>
  <si>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</si>
  <si>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</si>
  <si>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</si>
  <si>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</si>
  <si>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</si>
  <si>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</si>
  <si>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</si>
  <si>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</si>
  <si>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</si>
  <si>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</si>
  <si>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</si>
  <si>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</si>
  <si>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</si>
  <si>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</si>
  <si>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</si>
  <si>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</si>
  <si>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</si>
  <si>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</si>
  <si>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</si>
  <si>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</si>
  <si>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</si>
  <si>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</si>
  <si>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</si>
  <si>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</si>
  <si>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</si>
  <si>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</si>
  <si>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</si>
  <si>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</si>
  <si>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</si>
  <si>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</si>
  <si>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</si>
  <si>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</si>
  <si>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</si>
  <si>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</si>
  <si>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</si>
  <si>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</si>
  <si>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</si>
  <si>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</si>
  <si>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</si>
  <si>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</si>
  <si>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</si>
  <si>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</si>
  <si>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</si>
  <si>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</si>
  <si>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</si>
  <si>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</si>
  <si>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</si>
  <si>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</si>
  <si>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</si>
  <si>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</si>
  <si>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</si>
  <si>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</si>
  <si>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</si>
  <si>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</si>
  <si>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</si>
  <si>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</si>
  <si>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</si>
  <si>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</si>
  <si>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</si>
  <si>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</si>
  <si>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</si>
  <si>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</si>
  <si>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</si>
  <si>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</si>
  <si>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</si>
  <si>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</si>
  <si>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</si>
  <si>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</si>
  <si>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</si>
  <si>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</si>
  <si>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</si>
  <si>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</si>
  <si>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</si>
  <si>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</si>
  <si>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</si>
  <si>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</si>
  <si>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</si>
  <si>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</si>
  <si>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</si>
  <si>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</si>
  <si>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</si>
  <si>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</si>
  <si>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</si>
  <si>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</si>
  <si>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</si>
  <si>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</si>
  <si>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</si>
  <si>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</si>
  <si>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</si>
  <si>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</si>
  <si>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</si>
  <si>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</si>
  <si>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</si>
  <si>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</si>
  <si>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</si>
  <si>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</si>
  <si>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</si>
  <si>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</si>
  <si>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</si>
  <si>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</si>
  <si>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</si>
  <si>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</si>
  <si>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</si>
  <si>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</si>
  <si>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</si>
  <si>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</si>
  <si>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</si>
  <si>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</si>
  <si>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</si>
  <si>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</si>
  <si>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</si>
  <si>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</si>
  <si>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</si>
  <si>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</si>
  <si>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</si>
  <si>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</si>
  <si>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</si>
  <si>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</si>
  <si>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</si>
  <si>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</si>
  <si>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</si>
  <si>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</si>
  <si>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</si>
  <si>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</si>
  <si>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</si>
  <si>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</si>
  <si>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</si>
  <si>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</si>
  <si>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</si>
  <si>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</si>
  <si>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</si>
  <si>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</si>
  <si>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</si>
  <si>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</si>
  <si>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</si>
  <si>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</si>
  <si>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</si>
  <si>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</si>
  <si>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</si>
  <si>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</si>
  <si>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</si>
  <si>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</si>
  <si>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</si>
  <si>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</si>
  <si>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</si>
  <si>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</si>
  <si>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</si>
  <si>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</si>
  <si>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</si>
  <si>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</si>
  <si>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</si>
  <si>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</si>
  <si>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</si>
  <si>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</si>
  <si>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</si>
  <si>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</si>
  <si>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</si>
  <si>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</si>
  <si>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</si>
  <si>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</si>
  <si>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</si>
  <si>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</si>
  <si>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</si>
  <si>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</si>
  <si>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</si>
  <si>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</si>
  <si>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</si>
  <si>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</si>
  <si>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</si>
  <si>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</si>
  <si>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</si>
  <si>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</si>
  <si>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</si>
  <si>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</si>
  <si>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</si>
  <si>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</si>
  <si>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</si>
  <si>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</si>
  <si>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</si>
  <si>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</si>
  <si>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</si>
  <si>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</si>
  <si>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</si>
  <si>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</si>
  <si>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</si>
  <si>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</si>
  <si>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</si>
  <si>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</si>
  <si>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</si>
  <si>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</si>
  <si>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</si>
  <si>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</si>
  <si>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</si>
  <si>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</si>
  <si>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</si>
  <si>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</si>
  <si>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</si>
  <si>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</si>
  <si>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</si>
  <si>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</si>
  <si>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</si>
  <si>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</si>
  <si>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</si>
  <si>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</si>
  <si>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</si>
  <si>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</si>
  <si>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</si>
  <si>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</si>
  <si>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</si>
  <si>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</si>
  <si>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</si>
  <si>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</si>
  <si>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</si>
  <si>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</si>
  <si>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</si>
  <si>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</si>
  <si>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</si>
  <si>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</si>
  <si>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</si>
  <si>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</si>
  <si>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</si>
  <si>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</si>
  <si>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</si>
  <si>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</si>
  <si>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</si>
  <si>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</si>
  <si>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</si>
  <si>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</si>
  <si>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</si>
  <si>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</si>
  <si>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</si>
  <si>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</si>
  <si>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</si>
  <si>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</si>
  <si>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</si>
  <si>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</si>
  <si>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</si>
  <si>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</si>
  <si>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</si>
  <si>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</si>
  <si>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</si>
  <si>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</si>
  <si>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</si>
  <si>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</si>
  <si>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</si>
  <si>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</si>
  <si>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</si>
  <si>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</si>
  <si>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</si>
  <si>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</si>
  <si>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</si>
  <si>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</si>
  <si>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</si>
  <si>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</si>
  <si>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</si>
  <si>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</si>
  <si>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</si>
  <si>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</si>
  <si>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</si>
  <si>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</si>
  <si>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</si>
  <si>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</si>
  <si>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</si>
  <si>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</si>
  <si>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</si>
  <si>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</si>
  <si>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</si>
  <si>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</si>
  <si>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</si>
  <si>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</si>
  <si>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</si>
  <si>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</si>
  <si>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</si>
  <si>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</si>
  <si>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</si>
  <si>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</si>
  <si>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</si>
  <si>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</si>
  <si>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</si>
  <si>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</si>
  <si>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</si>
  <si>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</si>
  <si>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</si>
  <si>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</si>
  <si>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</si>
  <si>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</si>
  <si>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</si>
  <si>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</si>
  <si>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</si>
  <si>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</si>
  <si>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</si>
  <si>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</si>
  <si>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</si>
  <si>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</si>
  <si>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</si>
  <si>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</si>
  <si>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</si>
  <si>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</si>
  <si>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</si>
  <si>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</si>
  <si>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</si>
  <si>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</si>
  <si>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</si>
  <si>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</si>
  <si>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</si>
  <si>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</si>
  <si>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</si>
  <si>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</si>
  <si>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</si>
  <si>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</si>
  <si>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</si>
  <si>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</si>
  <si>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</si>
  <si>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</si>
  <si>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</si>
  <si>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</si>
  <si>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</si>
  <si>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</si>
  <si>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</si>
  <si>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</si>
  <si>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</si>
  <si>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</si>
  <si>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</si>
  <si>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</si>
  <si>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</si>
  <si>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</si>
  <si>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</si>
  <si>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</si>
  <si>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</si>
  <si>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</si>
  <si>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</si>
  <si>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</si>
  <si>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</si>
  <si>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</si>
  <si>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</si>
  <si>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</si>
  <si>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</si>
  <si>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</si>
  <si>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</si>
  <si>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</si>
  <si>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</si>
  <si>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</si>
  <si>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</si>
  <si>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</si>
  <si>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</si>
  <si>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</si>
  <si>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</si>
  <si>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</si>
  <si>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</si>
  <si>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</si>
  <si>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</si>
  <si>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</si>
  <si>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</si>
  <si>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</si>
  <si>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</si>
  <si>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</si>
  <si>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</si>
  <si>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</si>
  <si>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</si>
  <si>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</si>
  <si>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</si>
  <si>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</si>
  <si>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</si>
  <si>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</si>
  <si>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</si>
  <si>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</si>
  <si>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</si>
  <si>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</si>
  <si>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</si>
  <si>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</si>
  <si>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</si>
  <si>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</si>
  <si>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</si>
  <si>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</si>
  <si>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</si>
  <si>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</si>
  <si>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</si>
  <si>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</si>
  <si>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</si>
  <si>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</si>
  <si>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</si>
  <si>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</si>
  <si>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</si>
  <si>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</si>
  <si>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</si>
  <si>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</si>
  <si>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</si>
  <si>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</si>
  <si>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</si>
  <si>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</si>
  <si>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</si>
  <si>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</si>
  <si>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</si>
  <si>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</si>
  <si>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</si>
  <si>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</si>
  <si>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</si>
  <si>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</si>
  <si>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</si>
  <si>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</si>
  <si>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</si>
  <si>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</si>
  <si>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</si>
  <si>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</si>
  <si>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</si>
  <si>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</si>
  <si>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</si>
  <si>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</si>
  <si>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</si>
  <si>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</si>
  <si>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</si>
  <si>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</si>
  <si>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</si>
  <si>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</si>
  <si>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</si>
  <si>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</si>
  <si>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</si>
  <si>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</si>
  <si>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</si>
  <si>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</si>
  <si>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</si>
  <si>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</si>
  <si>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</si>
  <si>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</si>
  <si>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</si>
  <si>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</si>
  <si>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</si>
  <si>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</si>
  <si>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</si>
  <si>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</si>
  <si>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</si>
  <si>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</si>
  <si>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</si>
  <si>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</si>
  <si>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</si>
  <si>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</si>
  <si>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</si>
  <si>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</si>
  <si>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</si>
  <si>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</si>
  <si>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</si>
  <si>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</si>
  <si>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</si>
  <si>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</si>
  <si>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</si>
  <si>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</si>
  <si>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</si>
  <si>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</si>
  <si>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</si>
  <si>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</si>
  <si>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</si>
  <si>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</si>
  <si>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</si>
  <si>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</si>
  <si>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</si>
  <si>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</si>
  <si>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</si>
  <si>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</si>
  <si>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</si>
  <si>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</si>
  <si>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</si>
  <si>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</si>
  <si>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</si>
  <si>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</si>
  <si>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</si>
  <si>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</si>
  <si>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</si>
  <si>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</si>
  <si>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</si>
  <si>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</si>
  <si>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</si>
  <si>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</si>
  <si>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</si>
  <si>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</si>
  <si>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</si>
  <si>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</si>
  <si>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</si>
  <si>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</si>
  <si>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</si>
  <si>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</si>
  <si>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</si>
  <si>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</si>
  <si>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</si>
  <si>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</si>
  <si>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</si>
  <si>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</si>
  <si>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</si>
  <si>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</si>
  <si>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</si>
  <si>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</si>
  <si>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</si>
  <si>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</si>
  <si>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</si>
  <si>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</si>
  <si>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</si>
  <si>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</si>
  <si>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</si>
  <si>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</si>
  <si>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</si>
  <si>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</si>
  <si>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</si>
  <si>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</si>
  <si>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</si>
  <si>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</si>
  <si>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</si>
  <si>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</si>
  <si>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</si>
  <si>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</si>
  <si>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</si>
  <si>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</si>
  <si>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</si>
  <si>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</si>
  <si>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</si>
  <si>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</si>
  <si>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</si>
  <si>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</si>
  <si>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</si>
  <si>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</si>
  <si>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</si>
  <si>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</si>
  <si>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</si>
  <si>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</si>
  <si>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</si>
  <si>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</si>
  <si>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</si>
  <si>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</si>
  <si>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</si>
  <si>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</si>
  <si>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</si>
  <si>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</si>
  <si>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</si>
  <si>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</si>
  <si>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</si>
  <si>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</si>
  <si>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</si>
  <si>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</si>
  <si>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</si>
  <si>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</si>
  <si>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</si>
  <si>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</si>
  <si>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</si>
  <si>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</si>
  <si>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</si>
  <si>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</si>
  <si>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</si>
  <si>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</si>
  <si>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</si>
  <si>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</si>
  <si>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</si>
  <si>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</si>
  <si>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</si>
  <si>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</si>
  <si>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</si>
  <si>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</si>
  <si>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</si>
  <si>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</si>
  <si>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</si>
  <si>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</si>
  <si>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</si>
  <si>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</si>
  <si>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</si>
  <si>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</si>
  <si>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</si>
  <si>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</si>
  <si>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</si>
  <si>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</si>
  <si>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</si>
  <si>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</si>
  <si>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</si>
  <si>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</si>
  <si>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</si>
  <si>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</si>
  <si>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</si>
  <si>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</si>
  <si>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</si>
  <si>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</si>
  <si>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</si>
  <si>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</si>
  <si>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</si>
  <si>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</si>
  <si>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</si>
  <si>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</si>
  <si>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</si>
  <si>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</si>
  <si>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</si>
  <si>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</si>
  <si>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</si>
  <si>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</si>
  <si>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</si>
  <si>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</si>
  <si>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</si>
  <si>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</si>
  <si>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</si>
  <si>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</si>
  <si>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</si>
  <si>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</si>
  <si>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</si>
  <si>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</si>
  <si>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</si>
  <si>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</si>
  <si>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</si>
  <si>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</si>
  <si>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</si>
  <si>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</si>
  <si>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</si>
  <si>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</si>
  <si>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</si>
  <si>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</si>
  <si>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</si>
  <si>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</si>
  <si>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</si>
  <si>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</si>
  <si>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</si>
  <si>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</si>
  <si>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</si>
  <si>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</si>
  <si>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</si>
  <si>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</si>
  <si>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</si>
  <si>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</si>
  <si>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</si>
  <si>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</si>
  <si>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</si>
  <si>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</si>
  <si>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</si>
  <si>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</si>
  <si>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</si>
  <si>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</si>
  <si>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</si>
  <si>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</si>
  <si>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</si>
  <si>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</si>
  <si>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</si>
  <si>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</si>
  <si>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</si>
  <si>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</si>
  <si>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</si>
  <si>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</si>
  <si>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</si>
  <si>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</si>
  <si>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</si>
  <si>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</si>
  <si>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</si>
  <si>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</si>
  <si>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</si>
  <si>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</si>
  <si>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</si>
  <si>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</si>
  <si>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</si>
  <si>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</si>
  <si>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</si>
  <si>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</si>
  <si>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</si>
  <si>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</si>
  <si>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</si>
  <si>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</si>
  <si>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</si>
  <si>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</si>
  <si>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</si>
  <si>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</si>
  <si>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</si>
  <si>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</si>
  <si>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</si>
  <si>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</si>
  <si>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</si>
  <si>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</si>
  <si>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</si>
  <si>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</si>
  <si>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</si>
  <si>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</si>
  <si>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</si>
  <si>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</si>
  <si>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</si>
  <si>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</si>
  <si>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</si>
  <si>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</si>
  <si>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</si>
  <si>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</si>
  <si>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</si>
  <si>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</si>
  <si>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</si>
  <si>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</si>
  <si>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</si>
  <si>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</si>
  <si>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</si>
  <si>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</si>
  <si>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</si>
  <si>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</si>
  <si>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</si>
  <si>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</si>
  <si>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</si>
  <si>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</si>
  <si>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</si>
  <si>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</si>
  <si>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</si>
  <si>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</si>
  <si>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</si>
  <si>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</si>
  <si>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</si>
  <si>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</si>
  <si>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</si>
  <si>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</si>
  <si>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</si>
  <si>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</si>
  <si>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</si>
  <si>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</si>
  <si>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</si>
  <si>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</si>
  <si>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</si>
  <si>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</si>
  <si>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</si>
  <si>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</si>
  <si>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</si>
  <si>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</si>
  <si>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</si>
  <si>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</si>
  <si>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</si>
  <si>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</si>
  <si>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</si>
  <si>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</si>
  <si>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</si>
  <si>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</si>
  <si>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</si>
  <si>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</si>
  <si>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</si>
  <si>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</si>
  <si>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</si>
  <si>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</si>
  <si>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</si>
  <si>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</si>
  <si>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</si>
  <si>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</si>
  <si>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</si>
  <si>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</si>
  <si>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</si>
  <si>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</si>
  <si>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</si>
  <si>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</si>
  <si>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</si>
  <si>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</si>
  <si>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</si>
  <si>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</si>
  <si>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</si>
  <si>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</si>
  <si>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</si>
  <si>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</si>
  <si>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</si>
  <si>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</si>
  <si>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</si>
  <si>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</si>
  <si>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</si>
  <si>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</si>
  <si>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</si>
  <si>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</si>
  <si>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</si>
  <si>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</si>
  <si>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</si>
  <si>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</si>
  <si>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</si>
  <si>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</si>
  <si>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</si>
  <si>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</si>
  <si>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</si>
  <si>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</si>
  <si>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</si>
  <si>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</si>
  <si>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</si>
  <si>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</si>
  <si>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</si>
  <si>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</si>
  <si>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</si>
  <si>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</si>
  <si>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</si>
  <si>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</si>
  <si>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</si>
  <si>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</si>
  <si>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</si>
  <si>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</si>
  <si>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</si>
  <si>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</si>
  <si>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</si>
  <si>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</si>
  <si>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</si>
  <si>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</si>
  <si>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</si>
  <si>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</si>
  <si>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</si>
  <si>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</si>
  <si>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</si>
  <si>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</si>
  <si>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</si>
  <si>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</si>
  <si>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</si>
  <si>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</si>
  <si>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</si>
  <si>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</si>
  <si>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</si>
  <si>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</si>
  <si>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</si>
  <si>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</si>
  <si>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</si>
  <si>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</si>
  <si>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</si>
  <si>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</si>
  <si>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</si>
  <si>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</si>
  <si>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</si>
  <si>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</si>
  <si>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</si>
  <si>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</si>
  <si>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</si>
  <si>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</si>
  <si>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</si>
  <si>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</si>
  <si>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</si>
  <si>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</si>
  <si>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</si>
  <si>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</si>
  <si>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</si>
  <si>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</si>
  <si>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</si>
  <si>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</si>
  <si>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</si>
  <si>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</si>
  <si>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</si>
  <si>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</si>
  <si>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</si>
  <si>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</si>
  <si>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</si>
  <si>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</si>
  <si>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</si>
  <si>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</si>
  <si>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</si>
  <si>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</si>
  <si>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</si>
  <si>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</si>
  <si>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</si>
  <si>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</si>
  <si>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</si>
  <si>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</si>
  <si>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</si>
  <si>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</si>
  <si>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</si>
  <si>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</si>
  <si>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</si>
  <si>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</si>
  <si>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</si>
  <si>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</si>
  <si>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</si>
  <si>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</si>
  <si>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</si>
  <si>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</si>
  <si>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</si>
  <si>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</si>
  <si>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</si>
  <si>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</si>
  <si>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</si>
  <si>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</si>
  <si>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</si>
  <si>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</si>
  <si>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</si>
  <si>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</si>
  <si>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</si>
  <si>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</si>
  <si>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</si>
  <si>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</si>
  <si>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</si>
  <si>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</si>
  <si>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</si>
  <si>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</si>
  <si>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</si>
  <si>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</si>
  <si>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</si>
  <si>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</si>
  <si>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</si>
  <si>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</si>
  <si>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</si>
  <si>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</si>
  <si>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</si>
  <si>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</si>
  <si>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</si>
  <si>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</si>
  <si>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</si>
  <si>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</si>
  <si>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</si>
  <si>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</si>
  <si>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</si>
  <si>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</si>
  <si>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</si>
  <si>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</si>
  <si>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</si>
  <si>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</si>
  <si>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</si>
  <si>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</si>
  <si>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</si>
  <si>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</si>
  <si>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</si>
  <si>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</si>
  <si>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</si>
  <si>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</si>
  <si>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</si>
  <si>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</si>
  <si>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</si>
  <si>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</si>
  <si>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</si>
  <si>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</si>
  <si>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</si>
  <si>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</si>
  <si>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</si>
  <si>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</si>
  <si>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</si>
  <si>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</si>
  <si>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</si>
  <si>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</si>
  <si>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</si>
  <si>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</si>
  <si>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</si>
  <si>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</si>
  <si>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</si>
  <si>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</si>
  <si>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</si>
  <si>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</si>
  <si>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</si>
  <si>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</si>
  <si>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</si>
  <si>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</si>
  <si>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</si>
  <si>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</si>
  <si>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</si>
  <si>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</si>
  <si>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</si>
  <si>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</si>
  <si>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</si>
  <si>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</si>
  <si>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</si>
  <si>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</si>
  <si>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</si>
  <si>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</si>
  <si>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</si>
  <si>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</si>
  <si>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</si>
  <si>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</si>
  <si>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</si>
  <si>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</si>
  <si>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</si>
  <si>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</si>
  <si>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</si>
  <si>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</si>
  <si>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</si>
  <si>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</si>
  <si>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</si>
  <si>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</si>
  <si>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</si>
  <si>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</si>
  <si>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</si>
  <si>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</si>
  <si>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</si>
  <si>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</si>
  <si>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</si>
  <si>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</si>
  <si>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</si>
  <si>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</si>
  <si>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</si>
  <si>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</si>
  <si>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</si>
  <si>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</si>
  <si>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</si>
  <si>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</si>
  <si>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</si>
  <si>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</si>
  <si>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</si>
  <si>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</si>
  <si>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</si>
  <si>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</si>
  <si>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</si>
  <si>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</si>
  <si>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</si>
  <si>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</si>
  <si>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</si>
  <si>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</si>
  <si>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</si>
  <si>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</si>
  <si>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</si>
  <si>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</si>
  <si>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</si>
  <si>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</si>
  <si>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</si>
  <si>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</si>
  <si>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</si>
  <si>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</si>
  <si>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</si>
  <si>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</si>
  <si>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</si>
  <si>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</si>
  <si>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</si>
  <si>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</si>
  <si>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</si>
  <si>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</si>
  <si>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</si>
  <si>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</si>
  <si>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</si>
  <si>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</si>
  <si>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</si>
  <si>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</si>
  <si>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</si>
  <si>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</si>
  <si>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</si>
  <si>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</si>
  <si>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</si>
  <si>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</si>
  <si>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</si>
  <si>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</si>
  <si>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</si>
  <si>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</si>
  <si>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</si>
  <si>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</si>
  <si>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</si>
  <si>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</si>
  <si>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</si>
  <si>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</si>
  <si>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</si>
  <si>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</si>
  <si>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</si>
  <si>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</si>
  <si>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</si>
  <si>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</si>
  <si>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</si>
  <si>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</si>
  <si>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</si>
  <si>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</si>
  <si>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</si>
  <si>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</si>
  <si>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</si>
  <si>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</si>
  <si>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</si>
  <si>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</si>
  <si>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</si>
  <si>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</si>
  <si>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</si>
  <si>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</si>
  <si>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</si>
  <si>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</si>
  <si>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</si>
  <si>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</si>
  <si>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</si>
  <si>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</si>
  <si>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</si>
  <si>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</si>
  <si>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</si>
  <si>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</si>
  <si>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</si>
  <si>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</si>
  <si>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</si>
  <si>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</si>
  <si>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</si>
  <si>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</si>
  <si>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</si>
  <si>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</si>
  <si>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</si>
  <si>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</si>
  <si>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</si>
  <si>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</si>
  <si>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</si>
  <si>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</si>
  <si>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</si>
  <si>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</si>
  <si>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</si>
  <si>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</si>
  <si>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</si>
  <si>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</si>
  <si>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</si>
  <si>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</si>
  <si>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</si>
  <si>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</si>
  <si>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</si>
  <si>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</si>
  <si>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</si>
  <si>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</si>
  <si>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</si>
  <si>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</si>
  <si>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</si>
  <si>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</si>
  <si>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</si>
  <si>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</si>
  <si>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</si>
  <si>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</si>
  <si>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</si>
  <si>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</si>
  <si>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</si>
  <si>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</si>
  <si>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</si>
  <si>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</si>
  <si>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</si>
  <si>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</si>
  <si>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</si>
  <si>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</si>
  <si>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</si>
  <si>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</si>
  <si>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</si>
  <si>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</si>
  <si>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</si>
  <si>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</si>
  <si>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</si>
  <si>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</si>
  <si>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</si>
  <si>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</si>
  <si>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</si>
  <si>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</si>
  <si>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</si>
  <si>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</si>
  <si>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</si>
  <si>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</si>
  <si>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</si>
  <si>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</si>
  <si>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</si>
  <si>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</si>
  <si>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</si>
  <si>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</si>
  <si>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</si>
  <si>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</si>
  <si>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</si>
  <si>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</si>
  <si>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</si>
  <si>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</si>
  <si>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</si>
  <si>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</si>
  <si>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</si>
  <si>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</si>
  <si>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</si>
  <si>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</si>
  <si>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</si>
  <si>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</si>
  <si>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</si>
  <si>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</si>
  <si>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</si>
  <si>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</si>
  <si>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</si>
  <si>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</si>
  <si>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</si>
  <si>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</si>
  <si>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</si>
  <si>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</si>
  <si>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</si>
  <si>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</si>
  <si>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</si>
  <si>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</si>
  <si>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</si>
  <si>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</si>
  <si>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</si>
  <si>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</si>
  <si>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</si>
  <si>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</si>
  <si>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</si>
  <si>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</si>
  <si>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</si>
  <si>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</si>
  <si>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</si>
  <si>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</si>
  <si>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</si>
  <si>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</si>
  <si>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</si>
  <si>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</si>
  <si>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</si>
  <si>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</si>
  <si>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</si>
  <si>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</si>
  <si>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</si>
  <si>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</si>
  <si>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</si>
  <si>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</si>
  <si>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</si>
  <si>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</si>
  <si>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</si>
  <si>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</si>
  <si>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</si>
  <si>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</si>
  <si>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</si>
  <si>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</si>
  <si>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</si>
  <si>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</si>
  <si>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</si>
  <si>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</si>
  <si>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</si>
  <si>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</si>
  <si>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</si>
  <si>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</si>
  <si>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</si>
  <si>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</si>
  <si>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</si>
  <si>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</si>
  <si>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</si>
  <si>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</si>
  <si>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</si>
  <si>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</si>
  <si>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</si>
  <si>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</si>
  <si>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</si>
  <si>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</si>
  <si>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</si>
  <si>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</si>
  <si>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</si>
  <si>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</si>
  <si>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</si>
  <si>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</si>
  <si>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</si>
  <si>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</si>
  <si>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</si>
  <si>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</si>
  <si>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</si>
  <si>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</si>
  <si>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</si>
  <si>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</si>
  <si>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</si>
  <si>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</si>
  <si>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</si>
  <si>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</si>
  <si>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</si>
  <si>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</si>
  <si>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</si>
  <si>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</si>
  <si>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</si>
  <si>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</si>
  <si>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</si>
  <si>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</si>
  <si>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</si>
  <si>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</si>
  <si>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</si>
  <si>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</si>
  <si>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</si>
  <si>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</si>
  <si>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</si>
  <si>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</si>
  <si>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</si>
  <si>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</si>
  <si>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</si>
  <si>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</si>
  <si>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</si>
  <si>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</si>
  <si>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</si>
  <si>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</si>
  <si>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</si>
  <si>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</si>
  <si>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</si>
  <si>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</si>
  <si>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</si>
  <si>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</si>
  <si>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</si>
  <si>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</si>
  <si>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</si>
  <si>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</si>
  <si>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</si>
  <si>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</si>
  <si>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</si>
  <si>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</si>
  <si>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</si>
  <si>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</si>
  <si>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</si>
  <si>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</si>
  <si>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</si>
  <si>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</si>
  <si>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</si>
  <si>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</si>
  <si>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</si>
  <si>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</si>
  <si>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</si>
  <si>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</si>
  <si>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</si>
  <si>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</si>
  <si>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</si>
  <si>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</si>
  <si>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</si>
  <si>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</si>
  <si>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</si>
  <si>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</si>
  <si>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</si>
  <si>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</si>
  <si>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</si>
  <si>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</si>
  <si>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</si>
  <si>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</si>
  <si>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</si>
  <si>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</si>
  <si>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</si>
  <si>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</si>
  <si>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</si>
  <si>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</si>
  <si>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</si>
  <si>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</si>
  <si>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</si>
  <si>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</si>
  <si>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</si>
  <si>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</si>
  <si>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</si>
  <si>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</si>
  <si>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</si>
  <si>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</si>
  <si>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</si>
  <si>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</si>
  <si>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</si>
  <si>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</si>
  <si>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</si>
  <si>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</si>
  <si>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</si>
  <si>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</si>
  <si>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</si>
  <si>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</si>
  <si>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</si>
  <si>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</si>
  <si>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</si>
  <si>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</si>
  <si>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</si>
  <si>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</si>
  <si>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</si>
  <si>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</si>
  <si>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</si>
  <si>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</si>
  <si>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</si>
  <si>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</si>
  <si>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</si>
  <si>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</si>
  <si>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</si>
  <si>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</si>
  <si>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</si>
  <si>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</si>
  <si>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</si>
  <si>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</si>
  <si>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</si>
  <si>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</si>
  <si>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</si>
  <si>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</si>
  <si>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</si>
  <si>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</si>
  <si>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</si>
  <si>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</si>
  <si>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</si>
  <si>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</si>
  <si>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</si>
  <si>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</si>
  <si>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</si>
  <si>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</si>
  <si>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</si>
  <si>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</si>
  <si>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</si>
  <si>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</si>
  <si>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</si>
  <si>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</si>
  <si>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</si>
  <si>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</si>
  <si>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</si>
  <si>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</si>
  <si>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</si>
  <si>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</si>
  <si>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</si>
  <si>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</si>
  <si>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</si>
  <si>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</si>
  <si>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</si>
  <si>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</si>
  <si>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</si>
  <si>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</si>
  <si>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</si>
  <si>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</si>
  <si>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</si>
  <si>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</si>
  <si>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</si>
  <si>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</si>
  <si>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</si>
  <si>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</si>
  <si>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</si>
  <si>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</si>
  <si>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</si>
  <si>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</si>
  <si>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</si>
  <si>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</si>
  <si>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</si>
  <si>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</si>
  <si>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</si>
  <si>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</si>
  <si>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</si>
  <si>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</si>
  <si>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</si>
  <si>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</si>
  <si>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</si>
  <si>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</si>
  <si>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</si>
  <si>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</si>
  <si>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</si>
  <si>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</si>
  <si>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</si>
  <si>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</si>
  <si>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</si>
  <si>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</si>
  <si>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</si>
  <si>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</si>
  <si>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</si>
  <si>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</si>
  <si>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</si>
  <si>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</si>
  <si>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</si>
  <si>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</si>
  <si>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</si>
  <si>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</si>
  <si>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</si>
  <si>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</si>
  <si>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</si>
  <si>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</si>
  <si>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</si>
  <si>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</si>
  <si>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</si>
  <si>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</si>
  <si>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</si>
  <si>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</si>
  <si>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</si>
  <si>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</si>
  <si>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</si>
  <si>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</si>
  <si>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</si>
  <si>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</si>
  <si>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</si>
  <si>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</si>
  <si>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</si>
  <si>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</si>
  <si>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</si>
  <si>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</si>
  <si>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</si>
  <si>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</si>
  <si>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</si>
  <si>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</si>
  <si>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</si>
  <si>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</si>
  <si>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</si>
  <si>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</si>
  <si>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</si>
  <si>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</si>
  <si>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</si>
  <si>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</si>
  <si>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</si>
  <si>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</si>
  <si>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</si>
  <si>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</si>
  <si>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</si>
  <si>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</si>
  <si>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</si>
  <si>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</si>
  <si>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</si>
  <si>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</si>
  <si>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</si>
  <si>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</si>
  <si>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</si>
  <si>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</si>
  <si>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</si>
  <si>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</si>
  <si>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</si>
  <si>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</si>
  <si>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</si>
  <si>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</si>
  <si>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</si>
  <si>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</si>
  <si>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</si>
  <si>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</si>
  <si>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</si>
  <si>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</si>
  <si>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</si>
  <si>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</si>
  <si>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</si>
  <si>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</si>
  <si>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</si>
  <si>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</si>
  <si>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</si>
  <si>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</si>
  <si>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</si>
  <si>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</si>
  <si>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</si>
  <si>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</si>
  <si>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</si>
  <si>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</si>
  <si>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</si>
  <si>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</si>
  <si>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</si>
  <si>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</si>
  <si>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</si>
  <si>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</si>
  <si>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</si>
  <si>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</si>
  <si>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</si>
  <si>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</si>
  <si>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</si>
  <si>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</si>
  <si>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</si>
  <si>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</si>
  <si>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</si>
  <si>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</si>
  <si>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</si>
  <si>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</si>
  <si>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</si>
  <si>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</si>
  <si>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</si>
  <si>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</si>
  <si>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</si>
  <si>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</si>
  <si>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</si>
  <si>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</si>
  <si>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</si>
  <si>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</si>
  <si>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</si>
  <si>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</si>
  <si>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</si>
  <si>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</si>
  <si>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</si>
  <si>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</si>
  <si>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</si>
  <si>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</si>
  <si>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</si>
  <si>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</si>
  <si>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</si>
  <si>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</si>
  <si>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</si>
  <si>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</si>
  <si>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</si>
  <si>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</si>
  <si>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</si>
  <si>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</si>
  <si>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</si>
  <si>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</si>
  <si>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</si>
  <si>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</si>
  <si>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</si>
  <si>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</si>
  <si>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</si>
  <si>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</si>
  <si>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</si>
  <si>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</si>
  <si>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</si>
  <si>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</si>
  <si>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</si>
  <si>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</si>
  <si>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</si>
  <si>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</si>
  <si>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</si>
  <si>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</si>
  <si>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</si>
  <si>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</si>
  <si>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</si>
  <si>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</si>
  <si>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</si>
  <si>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</si>
  <si>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</si>
  <si>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</si>
  <si>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</si>
  <si>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</si>
  <si>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</si>
  <si>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</si>
  <si>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</si>
  <si>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</si>
  <si>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</si>
  <si>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</si>
  <si>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</si>
  <si>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</si>
  <si>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</si>
  <si>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</si>
  <si>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</si>
  <si>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Count of CustomerID</t>
  </si>
  <si>
    <t>Sum of Quantity</t>
  </si>
  <si>
    <t>Sum of TotalPrice</t>
  </si>
  <si>
    <t>Average of UnitPrice</t>
  </si>
  <si>
    <t>Jan</t>
  </si>
  <si>
    <t>Feb</t>
  </si>
  <si>
    <t>Mar</t>
  </si>
  <si>
    <t>Apr</t>
  </si>
  <si>
    <t>May</t>
  </si>
  <si>
    <t>Jun</t>
  </si>
  <si>
    <t>Jul</t>
  </si>
  <si>
    <t>Aug</t>
  </si>
  <si>
    <t>Sep</t>
  </si>
  <si>
    <t>Oct</t>
  </si>
  <si>
    <t>Nov</t>
  </si>
  <si>
    <t>Dec</t>
  </si>
  <si>
    <t>Sum of ItemsInCart</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</si>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</sst>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0_);_(* \(#,##0\);_(* &quot;-&quot;??_);_(@_)"/>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165" fontId="0" fillId="0" borderId="0" xfId="0" applyNumberFormat="1" applyAlignment="1">
      <alignment horizontal="left" indent="2"/>
    </xf>
    <xf numFmtId="0" fontId="0" fillId="0" borderId="0" xfId="0" pivotButton="1"/>
    <xf numFmtId="0" fontId="0" fillId="0" borderId="0" xfId="0" applyAlignment="1">
      <alignment horizontal="left"/>
    </xf>
    <xf numFmtId="0" fontId="0" fillId="2" borderId="0" xfId="0" applyFill="1" applyBorder="1" applyAlignment="1">
      <alignment horizontal="center"/>
    </xf>
  </cellXfs>
  <cellStyles count="1">
    <cellStyle name="Normal" xfId="0" builtinId="0"/>
  </cellStyles>
  <dxfs count="1460">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numFmt numFmtId="35" formatCode="_(* #,##0.00_);_(* \(#,##0.00\);_(* &quot;-&quot;??_);_(@_)"/>
    </dxf>
    <dxf>
      <alignment horizontal="left" relativeIndent="1"/>
    </dxf>
    <dxf>
      <alignment relativeIndent="1"/>
    </dxf>
    <dxf>
      <numFmt numFmtId="165" formatCode="_(* #,##0_);_(* \(#,##0\);_(* &quot;-&quot;??_);_(@_)"/>
    </dxf>
    <dxf>
      <font>
        <b/>
        <color theme="1"/>
      </font>
      <border>
        <bottom style="thin">
          <color theme="9"/>
        </bottom>
        <vertical/>
        <horizontal/>
      </border>
    </dxf>
    <dxf>
      <font>
        <b val="0"/>
        <i/>
        <color theme="1"/>
      </font>
      <border>
        <left style="thin">
          <color theme="9"/>
        </left>
        <right style="thin">
          <color theme="9"/>
        </right>
        <top style="thin">
          <color theme="9"/>
        </top>
        <bottom style="thin">
          <color theme="9"/>
        </bottom>
        <vertical/>
        <horizontal/>
      </border>
    </dxf>
    <dxf>
      <font>
        <sz val="8"/>
      </font>
    </dxf>
    <dxf>
      <font>
        <sz val="8"/>
      </font>
      <border diagonalUp="0" diagonalDown="0">
        <left/>
        <right/>
        <top/>
        <bottom/>
        <vertical/>
        <horizontal/>
      </border>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5" formatCode="_(* #,##0_);_(* \(#,##0\);_(* &quot;-&quot;??_);_(@_)"/>
    </dxf>
    <dxf>
      <alignment relativeIndent="1"/>
    </dxf>
    <dxf>
      <alignment horizontal="left" relativeIndent="1"/>
    </dxf>
    <dxf>
      <numFmt numFmtId="35" formatCode="_(* #,##0.00_);_(* \(#,##0.00\);_(* &quot;-&quot;??_);_(@_)"/>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3" defaultTableStyle="TableStyleMedium9" defaultPivotStyle="PivotStyleLight16">
    <tableStyle name="Slicer Style 2" pivot="0" table="0" count="1" xr9:uid="{C526A00B-3210-4351-B2BE-4D3FB1580E78}">
      <tableStyleElement type="wholeTable" dxfId="1411"/>
    </tableStyle>
    <tableStyle name="Slicer Style 3" pivot="0" table="0" count="1" xr9:uid="{22D8A4B6-CC1B-4952-8FC8-65AF1C967169}">
      <tableStyleElement type="wholeTable" dxfId="1410"/>
    </tableStyle>
    <tableStyle name="SlicerStyleLight6 2" pivot="0" table="0" count="10" xr9:uid="{5319D6E9-DEA7-4D09-AD41-D5D8AC0C332A}">
      <tableStyleElement type="wholeTable" dxfId="1409"/>
      <tableStyleElement type="headerRow" dxfId="1408"/>
    </tableStyle>
  </tableStyles>
  <colors>
    <mruColors>
      <color rgb="FFEEECE1"/>
      <color rgb="FFC0504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Slicer Style 2"/>
        <x14:slicerStyle name="Slicer Style 3"/>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Tables!PivotTable5</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0504D">
              <a:alpha val="49804"/>
            </a:srgbClr>
          </a:solidFill>
          <a:ln>
            <a:no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 Tables'!$D$1</c:f>
              <c:strCache>
                <c:ptCount val="1"/>
                <c:pt idx="0">
                  <c:v>Total</c:v>
                </c:pt>
              </c:strCache>
            </c:strRef>
          </c:tx>
          <c:spPr>
            <a:solidFill>
              <a:srgbClr val="C0504D">
                <a:alpha val="49804"/>
              </a:srgbClr>
            </a:solidFill>
            <a:ln>
              <a:noFill/>
            </a:ln>
            <a:effectLst/>
          </c:spPr>
          <c:invertIfNegative val="0"/>
          <c:dLbls>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Tables'!$C$2:$C$7</c:f>
              <c:strCache>
                <c:ptCount val="5"/>
                <c:pt idx="0">
                  <c:v>Cancelled</c:v>
                </c:pt>
                <c:pt idx="1">
                  <c:v>Delivered</c:v>
                </c:pt>
                <c:pt idx="2">
                  <c:v>Pending</c:v>
                </c:pt>
                <c:pt idx="3">
                  <c:v>Returned</c:v>
                </c:pt>
                <c:pt idx="4">
                  <c:v>Shipped</c:v>
                </c:pt>
              </c:strCache>
            </c:strRef>
          </c:cat>
          <c:val>
            <c:numRef>
              <c:f>'Pivot Tables'!$D$2:$D$7</c:f>
              <c:numCache>
                <c:formatCode>_(* #,##0_);_(* \(#,##0\);_(* "-"??_);_(@_)</c:formatCode>
                <c:ptCount val="5"/>
                <c:pt idx="0">
                  <c:v>759</c:v>
                </c:pt>
                <c:pt idx="1">
                  <c:v>690</c:v>
                </c:pt>
                <c:pt idx="2">
                  <c:v>724</c:v>
                </c:pt>
                <c:pt idx="3">
                  <c:v>682</c:v>
                </c:pt>
                <c:pt idx="4">
                  <c:v>680</c:v>
                </c:pt>
              </c:numCache>
            </c:numRef>
          </c:val>
          <c:extLst>
            <c:ext xmlns:c16="http://schemas.microsoft.com/office/drawing/2014/chart" uri="{C3380CC4-5D6E-409C-BE32-E72D297353CC}">
              <c16:uniqueId val="{00000000-5556-4290-B289-1CDAA79F6D24}"/>
            </c:ext>
          </c:extLst>
        </c:ser>
        <c:dLbls>
          <c:dLblPos val="outEnd"/>
          <c:showLegendKey val="0"/>
          <c:showVal val="1"/>
          <c:showCatName val="0"/>
          <c:showSerName val="0"/>
          <c:showPercent val="0"/>
          <c:showBubbleSize val="0"/>
        </c:dLbls>
        <c:gapWidth val="219"/>
        <c:overlap val="-27"/>
        <c:axId val="843311616"/>
        <c:axId val="843320256"/>
      </c:barChart>
      <c:catAx>
        <c:axId val="843311616"/>
        <c:scaling>
          <c:orientation val="minMax"/>
        </c:scaling>
        <c:delete val="0"/>
        <c:axPos val="b"/>
        <c:numFmt formatCode="General" sourceLinked="1"/>
        <c:majorTickMark val="out"/>
        <c:minorTickMark val="none"/>
        <c:tickLblPos val="nextTo"/>
        <c:spPr>
          <a:noFill/>
          <a:ln w="9525" cap="flat" cmpd="sng" algn="ctr">
            <a:noFill/>
            <a:round/>
          </a:ln>
          <a:effectLst/>
        </c:spPr>
        <c:txPr>
          <a:bodyPr rot="-54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43320256"/>
        <c:crosses val="autoZero"/>
        <c:auto val="1"/>
        <c:lblAlgn val="ctr"/>
        <c:lblOffset val="100"/>
        <c:noMultiLvlLbl val="0"/>
      </c:catAx>
      <c:valAx>
        <c:axId val="843320256"/>
        <c:scaling>
          <c:orientation val="minMax"/>
        </c:scaling>
        <c:delete val="1"/>
        <c:axPos val="l"/>
        <c:numFmt formatCode="_(* #,##0_);_(* \(#,##0\);_(* &quot;-&quot;??_);_(@_)" sourceLinked="1"/>
        <c:majorTickMark val="out"/>
        <c:minorTickMark val="none"/>
        <c:tickLblPos val="nextTo"/>
        <c:crossAx val="84331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lumMod val="7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504D">
              <a:alpha val="50000"/>
            </a:srgbClr>
          </a:solidFill>
          <a:ln>
            <a:noFill/>
          </a:ln>
          <a:effectLst/>
        </c:spPr>
        <c:marker>
          <c:symbol val="none"/>
        </c:marker>
        <c:dLbl>
          <c:idx val="0"/>
          <c:spPr>
            <a:noFill/>
            <a:ln>
              <a:noFill/>
            </a:ln>
            <a:effectLst/>
          </c:spPr>
          <c:txPr>
            <a:bodyPr rot="-6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62061880334663"/>
          <c:y val="6.1351205145158391E-2"/>
          <c:w val="0.73644283070514305"/>
          <c:h val="0.83309419655876349"/>
        </c:manualLayout>
      </c:layout>
      <c:barChart>
        <c:barDir val="bar"/>
        <c:grouping val="clustered"/>
        <c:varyColors val="0"/>
        <c:ser>
          <c:idx val="0"/>
          <c:order val="0"/>
          <c:tx>
            <c:strRef>
              <c:f>'Pivot Tables'!$D$9</c:f>
              <c:strCache>
                <c:ptCount val="1"/>
                <c:pt idx="0">
                  <c:v>Total</c:v>
                </c:pt>
              </c:strCache>
            </c:strRef>
          </c:tx>
          <c:spPr>
            <a:solidFill>
              <a:srgbClr val="C0504D">
                <a:alpha val="50000"/>
              </a:srgbClr>
            </a:solidFill>
            <a:ln>
              <a:noFill/>
            </a:ln>
            <a:effectLst/>
          </c:spPr>
          <c:invertIfNegative val="0"/>
          <c:dLbls>
            <c:spPr>
              <a:noFill/>
              <a:ln>
                <a:noFill/>
              </a:ln>
              <a:effectLst/>
            </c:spPr>
            <c:txPr>
              <a:bodyPr rot="-6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Tables'!$C$10:$C$15</c:f>
              <c:strCache>
                <c:ptCount val="5"/>
                <c:pt idx="0">
                  <c:v>Cash</c:v>
                </c:pt>
                <c:pt idx="1">
                  <c:v>Credit Card</c:v>
                </c:pt>
                <c:pt idx="2">
                  <c:v>Debit Card</c:v>
                </c:pt>
                <c:pt idx="3">
                  <c:v>Gift Card</c:v>
                </c:pt>
                <c:pt idx="4">
                  <c:v>Online</c:v>
                </c:pt>
              </c:strCache>
            </c:strRef>
          </c:cat>
          <c:val>
            <c:numRef>
              <c:f>'Pivot Tables'!$D$10:$D$15</c:f>
              <c:numCache>
                <c:formatCode>_(* #,##0_);_(* \(#,##0\);_(* "-"??_);_(@_)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C4BD-46C9-BA69-3E4CBCF74A86}"/>
            </c:ext>
          </c:extLst>
        </c:ser>
        <c:dLbls>
          <c:dLblPos val="outEnd"/>
          <c:showLegendKey val="0"/>
          <c:showVal val="1"/>
          <c:showCatName val="0"/>
          <c:showSerName val="0"/>
          <c:showPercent val="0"/>
          <c:showBubbleSize val="0"/>
        </c:dLbls>
        <c:gapWidth val="100"/>
        <c:axId val="856851600"/>
        <c:axId val="856857840"/>
      </c:barChart>
      <c:catAx>
        <c:axId val="85685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t" anchorCtr="0"/>
          <a:lstStyle/>
          <a:p>
            <a:pPr algn="ctr">
              <a:defRPr lang="en-US" sz="1000" b="0" i="0" u="none" strike="noStrike" kern="1200" baseline="0">
                <a:solidFill>
                  <a:schemeClr val="tx1"/>
                </a:solidFill>
                <a:latin typeface="+mn-lt"/>
                <a:ea typeface="+mn-ea"/>
                <a:cs typeface="+mn-cs"/>
              </a:defRPr>
            </a:pPr>
            <a:endParaRPr lang="en-US"/>
          </a:p>
        </c:txPr>
        <c:crossAx val="856857840"/>
        <c:crosses val="autoZero"/>
        <c:auto val="1"/>
        <c:lblAlgn val="ctr"/>
        <c:lblOffset val="100"/>
        <c:noMultiLvlLbl val="0"/>
      </c:catAx>
      <c:valAx>
        <c:axId val="856857840"/>
        <c:scaling>
          <c:orientation val="minMax"/>
        </c:scaling>
        <c:delete val="1"/>
        <c:axPos val="b"/>
        <c:numFmt formatCode="_(* #,##0_);_(* \(#,##0\);_(* &quot;-&quot;??_);_(@_)" sourceLinked="1"/>
        <c:majorTickMark val="out"/>
        <c:minorTickMark val="none"/>
        <c:tickLblPos val="nextTo"/>
        <c:crossAx val="856851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Tables!PivotTable7</c:name>
    <c:fmtId val="21"/>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504D">
                <a:alpha val="50000"/>
              </a:srgbClr>
            </a:solidFill>
            <a:round/>
          </a:ln>
          <a:effectLst/>
        </c:spPr>
        <c:marker>
          <c:symbol val="circle"/>
          <c:size val="5"/>
          <c:spPr>
            <a:solidFill>
              <a:srgbClr val="C0504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59546952778141E-2"/>
          <c:y val="5.0925625675838436E-2"/>
          <c:w val="0.93888888888888888"/>
          <c:h val="0.6601170382708329"/>
        </c:manualLayout>
      </c:layout>
      <c:lineChart>
        <c:grouping val="standard"/>
        <c:varyColors val="0"/>
        <c:ser>
          <c:idx val="0"/>
          <c:order val="0"/>
          <c:tx>
            <c:strRef>
              <c:f>'Pivot Tables'!$D$18</c:f>
              <c:strCache>
                <c:ptCount val="1"/>
                <c:pt idx="0">
                  <c:v>Total</c:v>
                </c:pt>
              </c:strCache>
            </c:strRef>
          </c:tx>
          <c:spPr>
            <a:ln w="28575" cap="rnd">
              <a:solidFill>
                <a:srgbClr val="C0504D">
                  <a:alpha val="50000"/>
                </a:srgbClr>
              </a:solidFill>
              <a:round/>
            </a:ln>
            <a:effectLst/>
          </c:spPr>
          <c:marker>
            <c:symbol val="circle"/>
            <c:size val="5"/>
            <c:spPr>
              <a:solidFill>
                <a:srgbClr val="C0504D"/>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Tables'!$C$19:$C$26</c:f>
              <c:strCache>
                <c:ptCount val="7"/>
                <c:pt idx="0">
                  <c:v>Chair</c:v>
                </c:pt>
                <c:pt idx="1">
                  <c:v>Desk</c:v>
                </c:pt>
                <c:pt idx="2">
                  <c:v>Laptop</c:v>
                </c:pt>
                <c:pt idx="3">
                  <c:v>Monitor</c:v>
                </c:pt>
                <c:pt idx="4">
                  <c:v>Phone</c:v>
                </c:pt>
                <c:pt idx="5">
                  <c:v>Printer</c:v>
                </c:pt>
                <c:pt idx="6">
                  <c:v>Tablet</c:v>
                </c:pt>
              </c:strCache>
            </c:strRef>
          </c:cat>
          <c:val>
            <c:numRef>
              <c:f>'Pivot Tables'!$D$19:$D$26</c:f>
              <c:numCache>
                <c:formatCode>_(* #,##0_);_(* \(#,##0\);_(* "-"??_);_(@_)</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mooth val="1"/>
          <c:extLst>
            <c:ext xmlns:c16="http://schemas.microsoft.com/office/drawing/2014/chart" uri="{C3380CC4-5D6E-409C-BE32-E72D297353CC}">
              <c16:uniqueId val="{00000000-0D82-4050-B1B0-36928C930476}"/>
            </c:ext>
          </c:extLst>
        </c:ser>
        <c:dLbls>
          <c:dLblPos val="t"/>
          <c:showLegendKey val="0"/>
          <c:showVal val="1"/>
          <c:showCatName val="0"/>
          <c:showSerName val="0"/>
          <c:showPercent val="0"/>
          <c:showBubbleSize val="0"/>
        </c:dLbls>
        <c:marker val="1"/>
        <c:smooth val="0"/>
        <c:axId val="2025906944"/>
        <c:axId val="2025916064"/>
      </c:lineChart>
      <c:catAx>
        <c:axId val="202590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916064"/>
        <c:crosses val="autoZero"/>
        <c:auto val="1"/>
        <c:lblAlgn val="ctr"/>
        <c:lblOffset val="100"/>
        <c:noMultiLvlLbl val="0"/>
      </c:catAx>
      <c:valAx>
        <c:axId val="2025916064"/>
        <c:scaling>
          <c:orientation val="minMax"/>
        </c:scaling>
        <c:delete val="1"/>
        <c:axPos val="l"/>
        <c:numFmt formatCode="_(* #,##0_);_(* \(#,##0\);_(* &quot;-&quot;??_);_(@_)" sourceLinked="1"/>
        <c:majorTickMark val="none"/>
        <c:minorTickMark val="none"/>
        <c:tickLblPos val="nextTo"/>
        <c:crossAx val="202590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4.419472683830924E-3"/>
              <c:y val="-0.17761446237472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0.10182465063546449"/>
              <c:y val="-0.13208975608077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6.1651295949466285E-2"/>
              <c:y val="0.122848599165356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0.10182465063546449"/>
              <c:y val="-7.74601085280321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0.11190104835459905"/>
              <c:y val="-0.13208975608077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0.10748157567076808"/>
              <c:y val="-0.22313916866867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9.4094053338511424E-2"/>
              <c:y val="9.5533775388985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504D">
                <a:alpha val="50000"/>
              </a:srgbClr>
            </a:solidFill>
            <a:round/>
          </a:ln>
          <a:effectLst/>
        </c:spPr>
        <c:marker>
          <c:symbol val="circle"/>
          <c:size val="5"/>
          <c:spPr>
            <a:solidFill>
              <a:srgbClr val="C0504D">
                <a:alpha val="91000"/>
              </a:srgbClr>
            </a:solidFill>
            <a:ln w="9525">
              <a:noFill/>
            </a:ln>
            <a:effectLst/>
          </c:spPr>
        </c:marker>
        <c:dLbl>
          <c:idx val="0"/>
          <c:layout>
            <c:manualLayout>
              <c:x val="-0.10306210298693715"/>
              <c:y val="0.28673754182358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76874138516736E-2"/>
          <c:y val="5.7596297251315515E-2"/>
          <c:w val="0.93864625172296656"/>
          <c:h val="0.65488042774583877"/>
        </c:manualLayout>
      </c:layout>
      <c:lineChart>
        <c:grouping val="standard"/>
        <c:varyColors val="0"/>
        <c:ser>
          <c:idx val="0"/>
          <c:order val="0"/>
          <c:tx>
            <c:strRef>
              <c:f>'Pivot Tables'!$G$1</c:f>
              <c:strCache>
                <c:ptCount val="1"/>
                <c:pt idx="0">
                  <c:v>Total</c:v>
                </c:pt>
              </c:strCache>
            </c:strRef>
          </c:tx>
          <c:spPr>
            <a:ln w="28575" cap="rnd">
              <a:solidFill>
                <a:srgbClr val="C0504D">
                  <a:alpha val="50000"/>
                </a:srgbClr>
              </a:solidFill>
              <a:round/>
            </a:ln>
            <a:effectLst/>
          </c:spPr>
          <c:marker>
            <c:symbol val="circle"/>
            <c:size val="5"/>
            <c:spPr>
              <a:solidFill>
                <a:srgbClr val="C0504D">
                  <a:alpha val="91000"/>
                </a:srgbClr>
              </a:solidFill>
              <a:ln w="9525">
                <a:noFill/>
              </a:ln>
              <a:effectLst/>
            </c:spPr>
          </c:marker>
          <c:dPt>
            <c:idx val="0"/>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7-1466-4DEE-9D7F-4EB96BF26B48}"/>
              </c:ext>
            </c:extLst>
          </c:dPt>
          <c:dPt>
            <c:idx val="1"/>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6-1466-4DEE-9D7F-4EB96BF26B48}"/>
              </c:ext>
            </c:extLst>
          </c:dPt>
          <c:dPt>
            <c:idx val="3"/>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5-1466-4DEE-9D7F-4EB96BF26B48}"/>
              </c:ext>
            </c:extLst>
          </c:dPt>
          <c:dPt>
            <c:idx val="4"/>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8-1466-4DEE-9D7F-4EB96BF26B48}"/>
              </c:ext>
            </c:extLst>
          </c:dPt>
          <c:dPt>
            <c:idx val="7"/>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3-1466-4DEE-9D7F-4EB96BF26B48}"/>
              </c:ext>
            </c:extLst>
          </c:dPt>
          <c:dPt>
            <c:idx val="9"/>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4-1466-4DEE-9D7F-4EB96BF26B48}"/>
              </c:ext>
            </c:extLst>
          </c:dPt>
          <c:dPt>
            <c:idx val="10"/>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2-1466-4DEE-9D7F-4EB96BF26B48}"/>
              </c:ext>
            </c:extLst>
          </c:dPt>
          <c:dPt>
            <c:idx val="11"/>
            <c:marker>
              <c:symbol val="circle"/>
              <c:size val="5"/>
              <c:spPr>
                <a:solidFill>
                  <a:srgbClr val="C0504D">
                    <a:alpha val="91000"/>
                  </a:srgbClr>
                </a:solidFill>
                <a:ln w="9525">
                  <a:noFill/>
                </a:ln>
                <a:effectLst/>
              </c:spPr>
            </c:marker>
            <c:bubble3D val="0"/>
            <c:spPr>
              <a:ln w="28575" cap="rnd">
                <a:solidFill>
                  <a:srgbClr val="C0504D">
                    <a:alpha val="50000"/>
                  </a:srgbClr>
                </a:solidFill>
                <a:round/>
              </a:ln>
              <a:effectLst/>
            </c:spPr>
            <c:extLst>
              <c:ext xmlns:c16="http://schemas.microsoft.com/office/drawing/2014/chart" uri="{C3380CC4-5D6E-409C-BE32-E72D297353CC}">
                <c16:uniqueId val="{00000001-1466-4DEE-9D7F-4EB96BF26B48}"/>
              </c:ext>
            </c:extLst>
          </c:dPt>
          <c:dLbls>
            <c:dLbl>
              <c:idx val="0"/>
              <c:layout>
                <c:manualLayout>
                  <c:x val="-9.4094053338511424E-2"/>
                  <c:y val="9.55337753889852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66-4DEE-9D7F-4EB96BF26B48}"/>
                </c:ext>
              </c:extLst>
            </c:dLbl>
            <c:dLbl>
              <c:idx val="1"/>
              <c:layout>
                <c:manualLayout>
                  <c:x val="-0.10748157567076808"/>
                  <c:y val="-0.223139168668678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66-4DEE-9D7F-4EB96BF26B48}"/>
                </c:ext>
              </c:extLst>
            </c:dLbl>
            <c:dLbl>
              <c:idx val="3"/>
              <c:layout>
                <c:manualLayout>
                  <c:x val="-0.11190104835459905"/>
                  <c:y val="-0.132089756080774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66-4DEE-9D7F-4EB96BF26B48}"/>
                </c:ext>
              </c:extLst>
            </c:dLbl>
            <c:dLbl>
              <c:idx val="4"/>
              <c:layout>
                <c:manualLayout>
                  <c:x val="-0.10306210298693715"/>
                  <c:y val="0.286737541823583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66-4DEE-9D7F-4EB96BF26B48}"/>
                </c:ext>
              </c:extLst>
            </c:dLbl>
            <c:dLbl>
              <c:idx val="7"/>
              <c:layout>
                <c:manualLayout>
                  <c:x val="-0.10182465063546449"/>
                  <c:y val="-0.132089756080774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66-4DEE-9D7F-4EB96BF26B48}"/>
                </c:ext>
              </c:extLst>
            </c:dLbl>
            <c:dLbl>
              <c:idx val="9"/>
              <c:layout>
                <c:manualLayout>
                  <c:x val="-0.10182465063546449"/>
                  <c:y val="-7.7460108528032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66-4DEE-9D7F-4EB96BF26B48}"/>
                </c:ext>
              </c:extLst>
            </c:dLbl>
            <c:dLbl>
              <c:idx val="10"/>
              <c:layout>
                <c:manualLayout>
                  <c:x val="-6.1651295949466285E-2"/>
                  <c:y val="0.122848599165356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66-4DEE-9D7F-4EB96BF26B48}"/>
                </c:ext>
              </c:extLst>
            </c:dLbl>
            <c:dLbl>
              <c:idx val="11"/>
              <c:layout>
                <c:manualLayout>
                  <c:x val="-4.419472683830924E-3"/>
                  <c:y val="-0.177614462374726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66-4DEE-9D7F-4EB96BF26B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Tables'!$G$2:$G$14</c:f>
              <c:numCache>
                <c:formatCode>_(* #,##0_);_(* \(#,##0\);_(*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1"/>
          <c:extLst>
            <c:ext xmlns:c16="http://schemas.microsoft.com/office/drawing/2014/chart" uri="{C3380CC4-5D6E-409C-BE32-E72D297353CC}">
              <c16:uniqueId val="{00000000-1466-4DEE-9D7F-4EB96BF26B48}"/>
            </c:ext>
          </c:extLst>
        </c:ser>
        <c:dLbls>
          <c:dLblPos val="t"/>
          <c:showLegendKey val="0"/>
          <c:showVal val="1"/>
          <c:showCatName val="0"/>
          <c:showSerName val="0"/>
          <c:showPercent val="0"/>
          <c:showBubbleSize val="0"/>
        </c:dLbls>
        <c:marker val="1"/>
        <c:smooth val="0"/>
        <c:axId val="2014482896"/>
        <c:axId val="2014477616"/>
      </c:lineChart>
      <c:catAx>
        <c:axId val="201448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477616"/>
        <c:crosses val="autoZero"/>
        <c:auto val="1"/>
        <c:lblAlgn val="ctr"/>
        <c:lblOffset val="100"/>
        <c:noMultiLvlLbl val="0"/>
      </c:catAx>
      <c:valAx>
        <c:axId val="2014477616"/>
        <c:scaling>
          <c:orientation val="minMax"/>
        </c:scaling>
        <c:delete val="1"/>
        <c:axPos val="l"/>
        <c:numFmt formatCode="_(* #,##0_);_(* \(#,##0\);_(* &quot;-&quot;??_);_(@_)" sourceLinked="1"/>
        <c:majorTickMark val="none"/>
        <c:minorTickMark val="none"/>
        <c:tickLblPos val="nextTo"/>
        <c:crossAx val="20144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C000">
              <a:alpha val="50000"/>
            </a:srgbClr>
          </a:solidFill>
          <a:ln w="19050">
            <a:solidFill>
              <a:schemeClr val="lt1"/>
            </a:solidFill>
          </a:ln>
          <a:effectLst/>
        </c:spPr>
        <c:dLbl>
          <c:idx val="0"/>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Lst>
        </c:dLbl>
      </c:pivotFmt>
      <c:pivotFmt>
        <c:idx val="8"/>
        <c:spPr>
          <a:solidFill>
            <a:schemeClr val="accent1"/>
          </a:solidFill>
          <a:ln w="19050">
            <a:solidFill>
              <a:srgbClr val="C0504D">
                <a:alpha val="50000"/>
              </a:srgbClr>
            </a:solidFill>
          </a:ln>
          <a:effectLst/>
        </c:spPr>
        <c:dLbl>
          <c:idx val="0"/>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Lst>
        </c:dLbl>
      </c:pivotFmt>
      <c:pivotFmt>
        <c:idx val="9"/>
        <c:spPr>
          <a:solidFill>
            <a:schemeClr val="bg2">
              <a:lumMod val="50000"/>
              <a:alpha val="50000"/>
            </a:schemeClr>
          </a:solidFill>
          <a:ln w="19050">
            <a:solidFill>
              <a:schemeClr val="lt1"/>
            </a:solidFill>
          </a:ln>
          <a:effectLst/>
        </c:spPr>
        <c:dLbl>
          <c:idx val="0"/>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Lst>
        </c:dLbl>
      </c:pivotFmt>
      <c:pivotFmt>
        <c:idx val="10"/>
        <c:spPr>
          <a:solidFill>
            <a:srgbClr val="FFFF00">
              <a:alpha val="50000"/>
            </a:srgbClr>
          </a:solidFill>
          <a:ln w="19050">
            <a:solidFill>
              <a:schemeClr val="lt1"/>
            </a:solidFill>
          </a:ln>
          <a:effectLst/>
        </c:spPr>
        <c:dLbl>
          <c:idx val="0"/>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Lst>
        </c:dLbl>
      </c:pivotFmt>
    </c:pivotFmts>
    <c:plotArea>
      <c:layout>
        <c:manualLayout>
          <c:layoutTarget val="inner"/>
          <c:xMode val="edge"/>
          <c:yMode val="edge"/>
          <c:x val="0.23401358618214987"/>
          <c:y val="7.7298264302848599E-2"/>
          <c:w val="0.59096630289541885"/>
          <c:h val="0.6282731625859963"/>
        </c:manualLayout>
      </c:layout>
      <c:doughnutChart>
        <c:varyColors val="1"/>
        <c:ser>
          <c:idx val="0"/>
          <c:order val="0"/>
          <c:tx>
            <c:strRef>
              <c:f>'Pivot Tables'!$G$17</c:f>
              <c:strCache>
                <c:ptCount val="1"/>
                <c:pt idx="0">
                  <c:v>Total</c:v>
                </c:pt>
              </c:strCache>
            </c:strRef>
          </c:tx>
          <c:dPt>
            <c:idx val="0"/>
            <c:bubble3D val="0"/>
            <c:spPr>
              <a:solidFill>
                <a:srgbClr val="FFC000">
                  <a:alpha val="50000"/>
                </a:srgbClr>
              </a:solidFill>
              <a:ln w="19050">
                <a:solidFill>
                  <a:schemeClr val="lt1"/>
                </a:solidFill>
              </a:ln>
              <a:effectLst/>
            </c:spPr>
            <c:extLst>
              <c:ext xmlns:c16="http://schemas.microsoft.com/office/drawing/2014/chart" uri="{C3380CC4-5D6E-409C-BE32-E72D297353CC}">
                <c16:uniqueId val="{00000001-0099-4E5E-A584-0411CF585A81}"/>
              </c:ext>
            </c:extLst>
          </c:dPt>
          <c:dPt>
            <c:idx val="1"/>
            <c:bubble3D val="0"/>
            <c:spPr>
              <a:solidFill>
                <a:schemeClr val="accent2"/>
              </a:solidFill>
              <a:ln w="19050">
                <a:solidFill>
                  <a:srgbClr val="C0504D">
                    <a:alpha val="50000"/>
                  </a:srgbClr>
                </a:solidFill>
              </a:ln>
              <a:effectLst/>
            </c:spPr>
            <c:extLst>
              <c:ext xmlns:c16="http://schemas.microsoft.com/office/drawing/2014/chart" uri="{C3380CC4-5D6E-409C-BE32-E72D297353CC}">
                <c16:uniqueId val="{00000003-0099-4E5E-A584-0411CF585A81}"/>
              </c:ext>
            </c:extLst>
          </c:dPt>
          <c:dPt>
            <c:idx val="2"/>
            <c:bubble3D val="0"/>
            <c:spPr>
              <a:solidFill>
                <a:schemeClr val="bg2">
                  <a:lumMod val="50000"/>
                  <a:alpha val="50000"/>
                </a:schemeClr>
              </a:solidFill>
              <a:ln w="19050">
                <a:solidFill>
                  <a:schemeClr val="lt1"/>
                </a:solidFill>
              </a:ln>
              <a:effectLst/>
            </c:spPr>
            <c:extLst>
              <c:ext xmlns:c16="http://schemas.microsoft.com/office/drawing/2014/chart" uri="{C3380CC4-5D6E-409C-BE32-E72D297353CC}">
                <c16:uniqueId val="{00000005-0099-4E5E-A584-0411CF585A81}"/>
              </c:ext>
            </c:extLst>
          </c:dPt>
          <c:dPt>
            <c:idx val="3"/>
            <c:bubble3D val="0"/>
            <c:spPr>
              <a:solidFill>
                <a:srgbClr val="FFFF00">
                  <a:alpha val="50000"/>
                </a:srgbClr>
              </a:solidFill>
              <a:ln w="19050">
                <a:solidFill>
                  <a:schemeClr val="lt1"/>
                </a:solidFill>
              </a:ln>
              <a:effectLst/>
            </c:spPr>
            <c:extLst>
              <c:ext xmlns:c16="http://schemas.microsoft.com/office/drawing/2014/chart" uri="{C3380CC4-5D6E-409C-BE32-E72D297353CC}">
                <c16:uniqueId val="{00000007-0099-4E5E-A584-0411CF585A81}"/>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 xmlns:c16="http://schemas.microsoft.com/office/drawing/2014/chart" uri="{C3380CC4-5D6E-409C-BE32-E72D297353CC}">
                  <c16:uniqueId val="{00000001-0099-4E5E-A584-0411CF585A81}"/>
                </c:ext>
              </c:extLst>
            </c:dLbl>
            <c:dLbl>
              <c:idx val="1"/>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 xmlns:c16="http://schemas.microsoft.com/office/drawing/2014/chart" uri="{C3380CC4-5D6E-409C-BE32-E72D297353CC}">
                  <c16:uniqueId val="{00000003-0099-4E5E-A584-0411CF585A81}"/>
                </c:ext>
              </c:extLst>
            </c:dLbl>
            <c:dLbl>
              <c:idx val="2"/>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 xmlns:c16="http://schemas.microsoft.com/office/drawing/2014/chart" uri="{C3380CC4-5D6E-409C-BE32-E72D297353CC}">
                  <c16:uniqueId val="{00000005-0099-4E5E-A584-0411CF585A81}"/>
                </c:ext>
              </c:extLst>
            </c:dLbl>
            <c:dLbl>
              <c:idx val="3"/>
              <c:showLegendKey val="0"/>
              <c:showVal val="0"/>
              <c:showCatName val="0"/>
              <c:showSerName val="0"/>
              <c:showPercent val="1"/>
              <c:showBubbleSize val="0"/>
              <c:extLst>
                <c:ext xmlns:c15="http://schemas.microsoft.com/office/drawing/2012/chart" uri="{CE6537A1-D6FC-4f65-9D91-7224C49458BB}">
                  <c15:layout>
                    <c:manualLayout>
                      <c:w val="0.10455555555555555"/>
                      <c:h val="6.4745552639253426E-2"/>
                    </c:manualLayout>
                  </c15:layout>
                </c:ext>
                <c:ext xmlns:c16="http://schemas.microsoft.com/office/drawing/2014/chart" uri="{C3380CC4-5D6E-409C-BE32-E72D297353CC}">
                  <c16:uniqueId val="{00000007-0099-4E5E-A584-0411CF585A81}"/>
                </c:ext>
              </c:extLst>
            </c:dLbl>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none"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Tables'!$F$18:$F$22</c:f>
              <c:strCache>
                <c:ptCount val="4"/>
                <c:pt idx="0">
                  <c:v>FREESHIP</c:v>
                </c:pt>
                <c:pt idx="1">
                  <c:v>SAVE10</c:v>
                </c:pt>
                <c:pt idx="2">
                  <c:v>UnKnown</c:v>
                </c:pt>
                <c:pt idx="3">
                  <c:v>WINTER15</c:v>
                </c:pt>
              </c:strCache>
            </c:strRef>
          </c:cat>
          <c:val>
            <c:numRef>
              <c:f>'Pivot Tables'!$G$18:$G$22</c:f>
              <c:numCache>
                <c:formatCode>_(* #,##0_);_(* \(#,##0\);_(* "-"??_);_(@_)</c:formatCode>
                <c:ptCount val="4"/>
                <c:pt idx="0">
                  <c:v>335036.99000000028</c:v>
                </c:pt>
                <c:pt idx="1">
                  <c:v>304840.02</c:v>
                </c:pt>
                <c:pt idx="2">
                  <c:v>322401.40999999992</c:v>
                </c:pt>
                <c:pt idx="3">
                  <c:v>302483.54000000021</c:v>
                </c:pt>
              </c:numCache>
            </c:numRef>
          </c:val>
          <c:extLst>
            <c:ext xmlns:c16="http://schemas.microsoft.com/office/drawing/2014/chart" uri="{C3380CC4-5D6E-409C-BE32-E72D297353CC}">
              <c16:uniqueId val="{00000008-0099-4E5E-A584-0411CF585A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[ecommerce_orders_dataset.csv.xlsx]Pivot Tables!PivotTable11</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504D">
              <a:alpha val="50000"/>
            </a:srgbClr>
          </a:solidFill>
          <a:ln>
            <a:solidFill>
              <a:srgbClr val="C0504D">
                <a:alpha val="5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000">
                <a:alpha val="80000"/>
              </a:srgbClr>
            </a:solidFill>
            <a:round/>
          </a:ln>
          <a:effectLst/>
        </c:spPr>
        <c:marker>
          <c:symbol val="circle"/>
          <c:size val="5"/>
          <c:spPr>
            <a:solidFill>
              <a:srgbClr val="FFC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Tables'!$K$1</c:f>
              <c:strCache>
                <c:ptCount val="1"/>
                <c:pt idx="0">
                  <c:v>Sum of TotalPrice</c:v>
                </c:pt>
              </c:strCache>
            </c:strRef>
          </c:tx>
          <c:spPr>
            <a:solidFill>
              <a:srgbClr val="C0504D">
                <a:alpha val="50000"/>
              </a:srgbClr>
            </a:solidFill>
            <a:ln>
              <a:solidFill>
                <a:srgbClr val="C0504D">
                  <a:alpha val="50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Tables'!$I$2:$I$7</c:f>
              <c:strCache>
                <c:ptCount val="5"/>
                <c:pt idx="0">
                  <c:v>Email</c:v>
                </c:pt>
                <c:pt idx="1">
                  <c:v>Facebook</c:v>
                </c:pt>
                <c:pt idx="2">
                  <c:v>Google</c:v>
                </c:pt>
                <c:pt idx="3">
                  <c:v>Instagram</c:v>
                </c:pt>
                <c:pt idx="4">
                  <c:v>Referral</c:v>
                </c:pt>
              </c:strCache>
            </c:strRef>
          </c:cat>
          <c:val>
            <c:numRef>
              <c:f>'Pivot Tables'!$K$2:$K$7</c:f>
              <c:numCache>
                <c:formatCode>_(* #,##0_);_(* \(#,##0\);_(* "-"??_);_(@_)</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2895-4E7B-8F74-FC57638507F7}"/>
            </c:ext>
          </c:extLst>
        </c:ser>
        <c:dLbls>
          <c:showLegendKey val="0"/>
          <c:showVal val="1"/>
          <c:showCatName val="0"/>
          <c:showSerName val="0"/>
          <c:showPercent val="0"/>
          <c:showBubbleSize val="0"/>
        </c:dLbls>
        <c:gapWidth val="219"/>
        <c:overlap val="-27"/>
        <c:axId val="2001508720"/>
        <c:axId val="852599200"/>
      </c:barChart>
      <c:lineChart>
        <c:grouping val="standard"/>
        <c:varyColors val="0"/>
        <c:ser>
          <c:idx val="0"/>
          <c:order val="0"/>
          <c:tx>
            <c:strRef>
              <c:f>'Pivot Tables'!$J$1</c:f>
              <c:strCache>
                <c:ptCount val="1"/>
                <c:pt idx="0">
                  <c:v>Sum of Quantity</c:v>
                </c:pt>
              </c:strCache>
            </c:strRef>
          </c:tx>
          <c:spPr>
            <a:ln w="28575" cap="rnd">
              <a:solidFill>
                <a:srgbClr val="FFC000">
                  <a:alpha val="80000"/>
                </a:srgbClr>
              </a:solidFill>
              <a:round/>
            </a:ln>
            <a:effectLst/>
          </c:spPr>
          <c:marker>
            <c:symbol val="circle"/>
            <c:size val="5"/>
            <c:spPr>
              <a:solidFill>
                <a:srgbClr val="FFC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Tables'!$I$2:$I$7</c:f>
              <c:strCache>
                <c:ptCount val="5"/>
                <c:pt idx="0">
                  <c:v>Email</c:v>
                </c:pt>
                <c:pt idx="1">
                  <c:v>Facebook</c:v>
                </c:pt>
                <c:pt idx="2">
                  <c:v>Google</c:v>
                </c:pt>
                <c:pt idx="3">
                  <c:v>Instagram</c:v>
                </c:pt>
                <c:pt idx="4">
                  <c:v>Referral</c:v>
                </c:pt>
              </c:strCache>
            </c:strRef>
          </c:cat>
          <c:val>
            <c:numRef>
              <c:f>'Pivot Tables'!$J$2:$J$7</c:f>
              <c:numCache>
                <c:formatCode>_(* #,##0_);_(* \(#,##0\);_(* "-"??_);_(@_)</c:formatCode>
                <c:ptCount val="5"/>
                <c:pt idx="0">
                  <c:v>746</c:v>
                </c:pt>
                <c:pt idx="1">
                  <c:v>674</c:v>
                </c:pt>
                <c:pt idx="2">
                  <c:v>714</c:v>
                </c:pt>
                <c:pt idx="3">
                  <c:v>770</c:v>
                </c:pt>
                <c:pt idx="4">
                  <c:v>631</c:v>
                </c:pt>
              </c:numCache>
            </c:numRef>
          </c:val>
          <c:smooth val="0"/>
          <c:extLst>
            <c:ext xmlns:c16="http://schemas.microsoft.com/office/drawing/2014/chart" uri="{C3380CC4-5D6E-409C-BE32-E72D297353CC}">
              <c16:uniqueId val="{00000001-2895-4E7B-8F74-FC57638507F7}"/>
            </c:ext>
          </c:extLst>
        </c:ser>
        <c:dLbls>
          <c:showLegendKey val="0"/>
          <c:showVal val="1"/>
          <c:showCatName val="0"/>
          <c:showSerName val="0"/>
          <c:showPercent val="0"/>
          <c:showBubbleSize val="0"/>
        </c:dLbls>
        <c:marker val="1"/>
        <c:smooth val="0"/>
        <c:axId val="2051878240"/>
        <c:axId val="2051888320"/>
      </c:lineChart>
      <c:catAx>
        <c:axId val="200150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99200"/>
        <c:crosses val="autoZero"/>
        <c:auto val="1"/>
        <c:lblAlgn val="ctr"/>
        <c:lblOffset val="100"/>
        <c:noMultiLvlLbl val="0"/>
      </c:catAx>
      <c:valAx>
        <c:axId val="852599200"/>
        <c:scaling>
          <c:orientation val="minMax"/>
        </c:scaling>
        <c:delete val="1"/>
        <c:axPos val="l"/>
        <c:numFmt formatCode="_(* #,##0_);_(* \(#,##0\);_(* &quot;-&quot;??_);_(@_)" sourceLinked="1"/>
        <c:majorTickMark val="none"/>
        <c:minorTickMark val="none"/>
        <c:tickLblPos val="nextTo"/>
        <c:crossAx val="2001508720"/>
        <c:crosses val="autoZero"/>
        <c:crossBetween val="between"/>
      </c:valAx>
      <c:valAx>
        <c:axId val="2051888320"/>
        <c:scaling>
          <c:orientation val="minMax"/>
        </c:scaling>
        <c:delete val="1"/>
        <c:axPos val="r"/>
        <c:numFmt formatCode="_(* #,##0_);_(* \(#,##0\);_(* &quot;-&quot;??_);_(@_)" sourceLinked="1"/>
        <c:majorTickMark val="out"/>
        <c:minorTickMark val="none"/>
        <c:tickLblPos val="nextTo"/>
        <c:crossAx val="2051878240"/>
        <c:crosses val="max"/>
        <c:crossBetween val="between"/>
      </c:valAx>
      <c:catAx>
        <c:axId val="2051878240"/>
        <c:scaling>
          <c:orientation val="minMax"/>
        </c:scaling>
        <c:delete val="1"/>
        <c:axPos val="b"/>
        <c:numFmt formatCode="General" sourceLinked="1"/>
        <c:majorTickMark val="out"/>
        <c:minorTickMark val="none"/>
        <c:tickLblPos val="nextTo"/>
        <c:crossAx val="20518883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image" Target="../media/image6.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19375</xdr:colOff>
      <xdr:row>0</xdr:row>
      <xdr:rowOff>25832</xdr:rowOff>
    </xdr:from>
    <xdr:to>
      <xdr:col>14</xdr:col>
      <xdr:colOff>0</xdr:colOff>
      <xdr:row>22</xdr:row>
      <xdr:rowOff>109779</xdr:rowOff>
    </xdr:to>
    <xdr:grpSp>
      <xdr:nvGrpSpPr>
        <xdr:cNvPr id="27" name="Group 26">
          <a:extLst>
            <a:ext uri="{FF2B5EF4-FFF2-40B4-BE49-F238E27FC236}">
              <a16:creationId xmlns:a16="http://schemas.microsoft.com/office/drawing/2014/main" id="{67A6A7D7-5C3D-C9E7-0221-C0D4A15A6416}"/>
            </a:ext>
          </a:extLst>
        </xdr:cNvPr>
        <xdr:cNvGrpSpPr/>
      </xdr:nvGrpSpPr>
      <xdr:grpSpPr>
        <a:xfrm>
          <a:off x="19375" y="25832"/>
          <a:ext cx="8515025" cy="4046347"/>
          <a:chOff x="632846" y="25832"/>
          <a:chExt cx="11162655" cy="4223287"/>
        </a:xfrm>
      </xdr:grpSpPr>
      <xdr:sp macro="" textlink="">
        <xdr:nvSpPr>
          <xdr:cNvPr id="10" name="Rectangle: Rounded Corners 9">
            <a:extLst>
              <a:ext uri="{FF2B5EF4-FFF2-40B4-BE49-F238E27FC236}">
                <a16:creationId xmlns:a16="http://schemas.microsoft.com/office/drawing/2014/main" id="{9E7461EC-C4BC-6784-8A64-FA95E7F968A6}"/>
              </a:ext>
            </a:extLst>
          </xdr:cNvPr>
          <xdr:cNvSpPr/>
        </xdr:nvSpPr>
        <xdr:spPr>
          <a:xfrm>
            <a:off x="632846" y="38747"/>
            <a:ext cx="820119" cy="421037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891E34D7-1925-4D4C-B8F7-8FD0F0D888BA}"/>
              </a:ext>
            </a:extLst>
          </xdr:cNvPr>
          <xdr:cNvSpPr/>
        </xdr:nvSpPr>
        <xdr:spPr>
          <a:xfrm>
            <a:off x="1456839" y="55537"/>
            <a:ext cx="1584703" cy="7904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3BCA6C70-EDC8-4C99-A33D-C78077BC7C77}"/>
              </a:ext>
            </a:extLst>
          </xdr:cNvPr>
          <xdr:cNvSpPr/>
        </xdr:nvSpPr>
        <xdr:spPr>
          <a:xfrm>
            <a:off x="3067373" y="46495"/>
            <a:ext cx="1607949" cy="7904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5E4A7565-EF10-481A-B0B8-DD8A381A8466}"/>
              </a:ext>
            </a:extLst>
          </xdr:cNvPr>
          <xdr:cNvSpPr/>
        </xdr:nvSpPr>
        <xdr:spPr>
          <a:xfrm>
            <a:off x="4694695" y="38744"/>
            <a:ext cx="1666068" cy="7904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7731AA05-79E6-4EF6-8EA9-D0FA13971974}"/>
              </a:ext>
            </a:extLst>
          </xdr:cNvPr>
          <xdr:cNvSpPr/>
        </xdr:nvSpPr>
        <xdr:spPr>
          <a:xfrm>
            <a:off x="6380136" y="36163"/>
            <a:ext cx="1613115" cy="7904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78CA453D-849F-49F3-920D-813FE38B9B5A}"/>
              </a:ext>
            </a:extLst>
          </xdr:cNvPr>
          <xdr:cNvSpPr/>
        </xdr:nvSpPr>
        <xdr:spPr>
          <a:xfrm>
            <a:off x="8007458" y="40039"/>
            <a:ext cx="1610532" cy="7904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40AB838B-9233-4B1D-8D69-C7BAFD1156FD}"/>
              </a:ext>
            </a:extLst>
          </xdr:cNvPr>
          <xdr:cNvSpPr/>
        </xdr:nvSpPr>
        <xdr:spPr>
          <a:xfrm>
            <a:off x="1478797" y="852407"/>
            <a:ext cx="4107049" cy="1698356"/>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7E9DD1E9-DFA0-4F18-8C47-B19B2BF1CEDF}"/>
              </a:ext>
            </a:extLst>
          </xdr:cNvPr>
          <xdr:cNvSpPr/>
        </xdr:nvSpPr>
        <xdr:spPr>
          <a:xfrm>
            <a:off x="5596181" y="836909"/>
            <a:ext cx="4025683" cy="1739684"/>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D356CC0F-3F5F-4F8A-A10C-38E422830E3D}"/>
              </a:ext>
            </a:extLst>
          </xdr:cNvPr>
          <xdr:cNvSpPr/>
        </xdr:nvSpPr>
        <xdr:spPr>
          <a:xfrm>
            <a:off x="1463299" y="2570137"/>
            <a:ext cx="4107049" cy="1666066"/>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DBB00C66-CE3A-4CA6-AA62-CB734E9DE5CB}"/>
              </a:ext>
            </a:extLst>
          </xdr:cNvPr>
          <xdr:cNvSpPr/>
        </xdr:nvSpPr>
        <xdr:spPr>
          <a:xfrm>
            <a:off x="5583265" y="2589508"/>
            <a:ext cx="4051515" cy="16441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4CB52862-4DA9-4276-9CE1-B8BC0168BCCB}"/>
              </a:ext>
            </a:extLst>
          </xdr:cNvPr>
          <xdr:cNvSpPr/>
        </xdr:nvSpPr>
        <xdr:spPr>
          <a:xfrm>
            <a:off x="9648988" y="25832"/>
            <a:ext cx="2129724" cy="208581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F25D06A4-A236-417A-A251-B4C76DD04374}"/>
              </a:ext>
            </a:extLst>
          </xdr:cNvPr>
          <xdr:cNvSpPr/>
        </xdr:nvSpPr>
        <xdr:spPr>
          <a:xfrm>
            <a:off x="9665777" y="2143932"/>
            <a:ext cx="2129724" cy="2096148"/>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245390</xdr:colOff>
      <xdr:row>11</xdr:row>
      <xdr:rowOff>77492</xdr:rowOff>
    </xdr:from>
    <xdr:to>
      <xdr:col>13</xdr:col>
      <xdr:colOff>581186</xdr:colOff>
      <xdr:row>21</xdr:row>
      <xdr:rowOff>103322</xdr:rowOff>
    </xdr:to>
    <xdr:graphicFrame macro="">
      <xdr:nvGraphicFramePr>
        <xdr:cNvPr id="2" name="Chart 1">
          <a:extLst>
            <a:ext uri="{FF2B5EF4-FFF2-40B4-BE49-F238E27FC236}">
              <a16:creationId xmlns:a16="http://schemas.microsoft.com/office/drawing/2014/main" id="{0303D140-F89A-4190-87F4-BB6F5EC0D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302604</xdr:colOff>
      <xdr:row>13</xdr:row>
      <xdr:rowOff>167900</xdr:rowOff>
    </xdr:from>
    <xdr:to>
      <xdr:col>11</xdr:col>
      <xdr:colOff>109780</xdr:colOff>
      <xdr:row>21</xdr:row>
      <xdr:rowOff>161441</xdr:rowOff>
    </xdr:to>
    <xdr:graphicFrame macro="">
      <xdr:nvGraphicFramePr>
        <xdr:cNvPr id="3" name="Chart 2">
          <a:extLst>
            <a:ext uri="{FF2B5EF4-FFF2-40B4-BE49-F238E27FC236}">
              <a16:creationId xmlns:a16="http://schemas.microsoft.com/office/drawing/2014/main" id="{4AE0BE8A-F202-41D2-BA33-FAC406CE6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200186</xdr:colOff>
      <xdr:row>4</xdr:row>
      <xdr:rowOff>154983</xdr:rowOff>
    </xdr:from>
    <xdr:to>
      <xdr:col>6</xdr:col>
      <xdr:colOff>19373</xdr:colOff>
      <xdr:row>13</xdr:row>
      <xdr:rowOff>83949</xdr:rowOff>
    </xdr:to>
    <xdr:graphicFrame macro="">
      <xdr:nvGraphicFramePr>
        <xdr:cNvPr id="6" name="Chart 5">
          <a:extLst>
            <a:ext uri="{FF2B5EF4-FFF2-40B4-BE49-F238E27FC236}">
              <a16:creationId xmlns:a16="http://schemas.microsoft.com/office/drawing/2014/main" id="{D66A96CB-0BD0-4ABA-8A8F-DC4BAD24A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154982</xdr:colOff>
      <xdr:row>4</xdr:row>
      <xdr:rowOff>129153</xdr:rowOff>
    </xdr:from>
    <xdr:to>
      <xdr:col>10</xdr:col>
      <xdr:colOff>600561</xdr:colOff>
      <xdr:row>13</xdr:row>
      <xdr:rowOff>122695</xdr:rowOff>
    </xdr:to>
    <xdr:graphicFrame macro="">
      <xdr:nvGraphicFramePr>
        <xdr:cNvPr id="7" name="Chart 6">
          <a:extLst>
            <a:ext uri="{FF2B5EF4-FFF2-40B4-BE49-F238E27FC236}">
              <a16:creationId xmlns:a16="http://schemas.microsoft.com/office/drawing/2014/main" id="{3234D774-CB85-4D45-8810-530AF4EF1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200188</xdr:colOff>
      <xdr:row>0</xdr:row>
      <xdr:rowOff>0</xdr:rowOff>
    </xdr:from>
    <xdr:to>
      <xdr:col>13</xdr:col>
      <xdr:colOff>568272</xdr:colOff>
      <xdr:row>10</xdr:row>
      <xdr:rowOff>109778</xdr:rowOff>
    </xdr:to>
    <xdr:graphicFrame macro="">
      <xdr:nvGraphicFramePr>
        <xdr:cNvPr id="8" name="Chart 7">
          <a:extLst>
            <a:ext uri="{FF2B5EF4-FFF2-40B4-BE49-F238E27FC236}">
              <a16:creationId xmlns:a16="http://schemas.microsoft.com/office/drawing/2014/main" id="{417647A1-2B12-4972-86DD-BE3FBA464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74392</xdr:colOff>
      <xdr:row>13</xdr:row>
      <xdr:rowOff>148526</xdr:rowOff>
    </xdr:from>
    <xdr:to>
      <xdr:col>6</xdr:col>
      <xdr:colOff>71034</xdr:colOff>
      <xdr:row>21</xdr:row>
      <xdr:rowOff>129152</xdr:rowOff>
    </xdr:to>
    <xdr:graphicFrame macro="">
      <xdr:nvGraphicFramePr>
        <xdr:cNvPr id="9" name="Chart 8">
          <a:extLst>
            <a:ext uri="{FF2B5EF4-FFF2-40B4-BE49-F238E27FC236}">
              <a16:creationId xmlns:a16="http://schemas.microsoft.com/office/drawing/2014/main" id="{775C8F67-DF06-448C-9AD1-340021EC9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452037</xdr:colOff>
      <xdr:row>2</xdr:row>
      <xdr:rowOff>122700</xdr:rowOff>
    </xdr:from>
    <xdr:to>
      <xdr:col>10</xdr:col>
      <xdr:colOff>439122</xdr:colOff>
      <xdr:row>3</xdr:row>
      <xdr:rowOff>77497</xdr:rowOff>
    </xdr:to>
    <xdr:sp macro="" textlink="'Pivot Tables'!A2">
      <xdr:nvSpPr>
        <xdr:cNvPr id="28" name="Rectangle 27">
          <a:extLst>
            <a:ext uri="{FF2B5EF4-FFF2-40B4-BE49-F238E27FC236}">
              <a16:creationId xmlns:a16="http://schemas.microsoft.com/office/drawing/2014/main" id="{0A13854D-2CE2-C3DA-CCFF-819BF48C1FEA}"/>
            </a:ext>
          </a:extLst>
        </xdr:cNvPr>
        <xdr:cNvSpPr/>
      </xdr:nvSpPr>
      <xdr:spPr>
        <a:xfrm>
          <a:off x="5915190" y="484327"/>
          <a:ext cx="594101" cy="1356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6E7C150-4B2A-4770-BE14-93FBE014532F}" type="TxLink">
            <a:rPr lang="en-US" sz="1200" b="1" i="1" u="none" strike="noStrike">
              <a:solidFill>
                <a:srgbClr val="000000"/>
              </a:solidFill>
              <a:latin typeface="Calibri"/>
              <a:ea typeface="Calibri"/>
              <a:cs typeface="Calibri"/>
            </a:rPr>
            <a:pPr marL="0" indent="0" algn="ctr"/>
            <a:t> 356 </a:t>
          </a:fld>
          <a:endParaRPr lang="en-US" sz="1200" b="1" i="1" u="none" strike="noStrike">
            <a:solidFill>
              <a:srgbClr val="000000"/>
            </a:solidFill>
            <a:latin typeface="Calibri"/>
            <a:ea typeface="Calibri"/>
            <a:cs typeface="Calibri"/>
          </a:endParaRPr>
        </a:p>
      </xdr:txBody>
    </xdr:sp>
    <xdr:clientData/>
  </xdr:twoCellAnchor>
  <xdr:twoCellAnchor>
    <xdr:from>
      <xdr:col>7</xdr:col>
      <xdr:colOff>355166</xdr:colOff>
      <xdr:row>2</xdr:row>
      <xdr:rowOff>83949</xdr:rowOff>
    </xdr:from>
    <xdr:to>
      <xdr:col>8</xdr:col>
      <xdr:colOff>514024</xdr:colOff>
      <xdr:row>3</xdr:row>
      <xdr:rowOff>77495</xdr:rowOff>
    </xdr:to>
    <xdr:sp macro="" textlink="'Pivot Tables'!A5">
      <xdr:nvSpPr>
        <xdr:cNvPr id="29" name="Rectangle 28">
          <a:extLst>
            <a:ext uri="{FF2B5EF4-FFF2-40B4-BE49-F238E27FC236}">
              <a16:creationId xmlns:a16="http://schemas.microsoft.com/office/drawing/2014/main" id="{0E71ED17-0924-4F71-BBC2-E326409BC65D}"/>
            </a:ext>
          </a:extLst>
        </xdr:cNvPr>
        <xdr:cNvSpPr/>
      </xdr:nvSpPr>
      <xdr:spPr>
        <a:xfrm>
          <a:off x="4604285" y="445576"/>
          <a:ext cx="765875" cy="174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6C20E63-B610-40C1-8784-2835391CF705}" type="TxLink">
            <a:rPr lang="en-US" sz="1200" b="1" i="1" u="none" strike="noStrike">
              <a:solidFill>
                <a:srgbClr val="000000"/>
              </a:solidFill>
              <a:latin typeface="Calibri"/>
              <a:ea typeface="Calibri"/>
              <a:cs typeface="Calibri"/>
            </a:rPr>
            <a:pPr marL="0" indent="0" algn="ctr"/>
            <a:t> 1,200 </a:t>
          </a:fld>
          <a:endParaRPr lang="en-US" sz="1200" b="1" i="1" u="none" strike="noStrike">
            <a:solidFill>
              <a:srgbClr val="000000"/>
            </a:solidFill>
            <a:latin typeface="Calibri"/>
            <a:ea typeface="Calibri"/>
            <a:cs typeface="Calibri"/>
          </a:endParaRPr>
        </a:p>
      </xdr:txBody>
    </xdr:sp>
    <xdr:clientData/>
  </xdr:twoCellAnchor>
  <xdr:twoCellAnchor>
    <xdr:from>
      <xdr:col>3</xdr:col>
      <xdr:colOff>169189</xdr:colOff>
      <xdr:row>2</xdr:row>
      <xdr:rowOff>103327</xdr:rowOff>
    </xdr:from>
    <xdr:to>
      <xdr:col>4</xdr:col>
      <xdr:colOff>504986</xdr:colOff>
      <xdr:row>3</xdr:row>
      <xdr:rowOff>91703</xdr:rowOff>
    </xdr:to>
    <xdr:sp macro="" textlink="'Pivot Tables'!A8">
      <xdr:nvSpPr>
        <xdr:cNvPr id="30" name="Rectangle 29">
          <a:extLst>
            <a:ext uri="{FF2B5EF4-FFF2-40B4-BE49-F238E27FC236}">
              <a16:creationId xmlns:a16="http://schemas.microsoft.com/office/drawing/2014/main" id="{9E145DF6-623A-4D39-B6CB-EE5521AFDE7C}"/>
            </a:ext>
          </a:extLst>
        </xdr:cNvPr>
        <xdr:cNvSpPr/>
      </xdr:nvSpPr>
      <xdr:spPr>
        <a:xfrm>
          <a:off x="1990240" y="464954"/>
          <a:ext cx="942814" cy="1691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E9F856-54E0-449B-AE27-74BFEA587EEB}" type="TxLink">
            <a:rPr lang="en-US" sz="1200" b="1" i="1" u="none" strike="noStrike">
              <a:solidFill>
                <a:srgbClr val="000000"/>
              </a:solidFill>
              <a:latin typeface="Calibri"/>
              <a:ea typeface="Calibri"/>
              <a:cs typeface="Calibri"/>
            </a:rPr>
            <a:pPr marL="0" indent="0" algn="ctr"/>
            <a:t> 3,535 </a:t>
          </a:fld>
          <a:endParaRPr lang="en-US" sz="1200" b="1" i="1" u="none" strike="noStrike">
            <a:solidFill>
              <a:srgbClr val="000000"/>
            </a:solidFill>
            <a:latin typeface="Calibri"/>
            <a:ea typeface="Calibri"/>
            <a:cs typeface="Calibri"/>
          </a:endParaRPr>
        </a:p>
      </xdr:txBody>
    </xdr:sp>
    <xdr:clientData/>
  </xdr:twoCellAnchor>
  <xdr:twoCellAnchor>
    <xdr:from>
      <xdr:col>1</xdr:col>
      <xdr:colOff>50369</xdr:colOff>
      <xdr:row>2</xdr:row>
      <xdr:rowOff>93726</xdr:rowOff>
    </xdr:from>
    <xdr:to>
      <xdr:col>2</xdr:col>
      <xdr:colOff>594102</xdr:colOff>
      <xdr:row>3</xdr:row>
      <xdr:rowOff>90405</xdr:rowOff>
    </xdr:to>
    <xdr:sp macro="" textlink="'Pivot Tables'!A11">
      <xdr:nvSpPr>
        <xdr:cNvPr id="31" name="Rectangle 30">
          <a:extLst>
            <a:ext uri="{FF2B5EF4-FFF2-40B4-BE49-F238E27FC236}">
              <a16:creationId xmlns:a16="http://schemas.microsoft.com/office/drawing/2014/main" id="{4499A5A1-5649-430D-BC64-FE4D111759CB}"/>
            </a:ext>
          </a:extLst>
        </xdr:cNvPr>
        <xdr:cNvSpPr/>
      </xdr:nvSpPr>
      <xdr:spPr>
        <a:xfrm>
          <a:off x="657386" y="455353"/>
          <a:ext cx="1150750" cy="1774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38FB1C8-954F-4FC4-8C69-06DC7408EC27}" type="TxLink">
            <a:rPr lang="en-US" sz="1200" b="1" i="1" u="none" strike="noStrike">
              <a:solidFill>
                <a:srgbClr val="000000"/>
              </a:solidFill>
              <a:latin typeface="Calibri"/>
              <a:ea typeface="Calibri"/>
              <a:cs typeface="Calibri"/>
            </a:rPr>
            <a:pPr marL="0" indent="0" algn="ctr"/>
            <a:t> 1,264,762 </a:t>
          </a:fld>
          <a:endParaRPr lang="en-US" sz="1200" b="1" i="1" u="none" strike="noStrike">
            <a:solidFill>
              <a:srgbClr val="000000"/>
            </a:solidFill>
            <a:latin typeface="Calibri"/>
            <a:ea typeface="Calibri"/>
            <a:cs typeface="Calibri"/>
          </a:endParaRPr>
        </a:p>
      </xdr:txBody>
    </xdr:sp>
    <xdr:clientData/>
  </xdr:twoCellAnchor>
  <xdr:twoCellAnchor>
    <xdr:from>
      <xdr:col>5</xdr:col>
      <xdr:colOff>209227</xdr:colOff>
      <xdr:row>2</xdr:row>
      <xdr:rowOff>71038</xdr:rowOff>
    </xdr:from>
    <xdr:to>
      <xdr:col>6</xdr:col>
      <xdr:colOff>545024</xdr:colOff>
      <xdr:row>3</xdr:row>
      <xdr:rowOff>67164</xdr:rowOff>
    </xdr:to>
    <xdr:sp macro="" textlink="'Pivot Tables'!A14">
      <xdr:nvSpPr>
        <xdr:cNvPr id="32" name="Rectangle 31">
          <a:extLst>
            <a:ext uri="{FF2B5EF4-FFF2-40B4-BE49-F238E27FC236}">
              <a16:creationId xmlns:a16="http://schemas.microsoft.com/office/drawing/2014/main" id="{C6C40E32-C02A-429E-AE80-3446C61B0382}"/>
            </a:ext>
          </a:extLst>
        </xdr:cNvPr>
        <xdr:cNvSpPr/>
      </xdr:nvSpPr>
      <xdr:spPr>
        <a:xfrm>
          <a:off x="3244312" y="432665"/>
          <a:ext cx="942814" cy="176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7BDEC51-8A49-4D9A-938C-882350456509}" type="TxLink">
            <a:rPr lang="en-US" sz="1200" b="1" i="1" u="none" strike="noStrike">
              <a:solidFill>
                <a:srgbClr val="000000"/>
              </a:solidFill>
              <a:latin typeface="Calibri"/>
              <a:ea typeface="Calibri"/>
              <a:cs typeface="Calibri"/>
            </a:rPr>
            <a:pPr marL="0" indent="0" algn="ctr"/>
            <a:t> 6,582 </a:t>
          </a:fld>
          <a:endParaRPr lang="en-US" sz="1200" b="1" i="1" u="none" strike="noStrike">
            <a:solidFill>
              <a:srgbClr val="000000"/>
            </a:solidFill>
            <a:latin typeface="Calibri"/>
            <a:ea typeface="Calibri"/>
            <a:cs typeface="Calibri"/>
          </a:endParaRPr>
        </a:p>
      </xdr:txBody>
    </xdr:sp>
    <xdr:clientData/>
  </xdr:twoCellAnchor>
  <xdr:twoCellAnchor>
    <xdr:from>
      <xdr:col>1</xdr:col>
      <xdr:colOff>129153</xdr:colOff>
      <xdr:row>3</xdr:row>
      <xdr:rowOff>45202</xdr:rowOff>
    </xdr:from>
    <xdr:to>
      <xdr:col>2</xdr:col>
      <xdr:colOff>542441</xdr:colOff>
      <xdr:row>4</xdr:row>
      <xdr:rowOff>77490</xdr:rowOff>
    </xdr:to>
    <xdr:sp macro="" textlink="">
      <xdr:nvSpPr>
        <xdr:cNvPr id="34" name="Rectangle 33">
          <a:extLst>
            <a:ext uri="{FF2B5EF4-FFF2-40B4-BE49-F238E27FC236}">
              <a16:creationId xmlns:a16="http://schemas.microsoft.com/office/drawing/2014/main" id="{8AF0D04D-8CEC-A14D-B6FE-0327827445AA}"/>
            </a:ext>
          </a:extLst>
        </xdr:cNvPr>
        <xdr:cNvSpPr/>
      </xdr:nvSpPr>
      <xdr:spPr>
        <a:xfrm>
          <a:off x="736170" y="587643"/>
          <a:ext cx="1020305" cy="2131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a:solidFill>
                <a:schemeClr val="tx1"/>
              </a:solidFill>
            </a:rPr>
            <a:t>Total</a:t>
          </a:r>
          <a:r>
            <a:rPr lang="en-US" sz="1100" b="1" i="1" baseline="0">
              <a:solidFill>
                <a:schemeClr val="tx1"/>
              </a:solidFill>
            </a:rPr>
            <a:t> Revenue</a:t>
          </a:r>
          <a:endParaRPr lang="en-US" sz="1100" b="1" i="1">
            <a:solidFill>
              <a:schemeClr val="tx1"/>
            </a:solidFill>
          </a:endParaRPr>
        </a:p>
      </xdr:txBody>
    </xdr:sp>
    <xdr:clientData/>
  </xdr:twoCellAnchor>
  <xdr:twoCellAnchor>
    <xdr:from>
      <xdr:col>3</xdr:col>
      <xdr:colOff>122697</xdr:colOff>
      <xdr:row>3</xdr:row>
      <xdr:rowOff>64575</xdr:rowOff>
    </xdr:from>
    <xdr:to>
      <xdr:col>4</xdr:col>
      <xdr:colOff>555359</xdr:colOff>
      <xdr:row>4</xdr:row>
      <xdr:rowOff>96871</xdr:rowOff>
    </xdr:to>
    <xdr:sp macro="" textlink="'Pivot Tables'!A5">
      <xdr:nvSpPr>
        <xdr:cNvPr id="36" name="Rectangle 35">
          <a:extLst>
            <a:ext uri="{FF2B5EF4-FFF2-40B4-BE49-F238E27FC236}">
              <a16:creationId xmlns:a16="http://schemas.microsoft.com/office/drawing/2014/main" id="{B3C73621-BC48-4CB1-B622-0E41B7FAAB44}"/>
            </a:ext>
          </a:extLst>
        </xdr:cNvPr>
        <xdr:cNvSpPr/>
      </xdr:nvSpPr>
      <xdr:spPr>
        <a:xfrm>
          <a:off x="1943748" y="607016"/>
          <a:ext cx="1039679" cy="21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1" u="none" strike="noStrike">
              <a:solidFill>
                <a:srgbClr val="000000"/>
              </a:solidFill>
              <a:latin typeface="Calibri"/>
              <a:ea typeface="Calibri"/>
              <a:cs typeface="Calibri"/>
            </a:rPr>
            <a:t>Total</a:t>
          </a:r>
          <a:r>
            <a:rPr lang="en-US" sz="1100" b="1" i="1" u="none" strike="noStrike" baseline="0">
              <a:solidFill>
                <a:srgbClr val="000000"/>
              </a:solidFill>
              <a:latin typeface="Calibri"/>
              <a:ea typeface="Calibri"/>
              <a:cs typeface="Calibri"/>
            </a:rPr>
            <a:t> Quantity</a:t>
          </a:r>
          <a:endParaRPr lang="en-US" sz="1100" b="1" i="1" u="none" strike="noStrike">
            <a:solidFill>
              <a:srgbClr val="000000"/>
            </a:solidFill>
            <a:latin typeface="Calibri"/>
            <a:ea typeface="Calibri"/>
            <a:cs typeface="Calibri"/>
          </a:endParaRPr>
        </a:p>
      </xdr:txBody>
    </xdr:sp>
    <xdr:clientData/>
  </xdr:twoCellAnchor>
  <xdr:twoCellAnchor>
    <xdr:from>
      <xdr:col>5</xdr:col>
      <xdr:colOff>32288</xdr:colOff>
      <xdr:row>3</xdr:row>
      <xdr:rowOff>49077</xdr:rowOff>
    </xdr:from>
    <xdr:to>
      <xdr:col>7</xdr:col>
      <xdr:colOff>103322</xdr:colOff>
      <xdr:row>4</xdr:row>
      <xdr:rowOff>81373</xdr:rowOff>
    </xdr:to>
    <xdr:sp macro="" textlink="'Pivot Tables'!A5">
      <xdr:nvSpPr>
        <xdr:cNvPr id="37" name="Rectangle 36">
          <a:extLst>
            <a:ext uri="{FF2B5EF4-FFF2-40B4-BE49-F238E27FC236}">
              <a16:creationId xmlns:a16="http://schemas.microsoft.com/office/drawing/2014/main" id="{D0F1FDD5-64A5-4937-BADB-B1179DB6687B}"/>
            </a:ext>
          </a:extLst>
        </xdr:cNvPr>
        <xdr:cNvSpPr/>
      </xdr:nvSpPr>
      <xdr:spPr>
        <a:xfrm>
          <a:off x="3067373" y="591518"/>
          <a:ext cx="1285068" cy="21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1" u="none" strike="noStrike">
              <a:solidFill>
                <a:srgbClr val="000000"/>
              </a:solidFill>
              <a:latin typeface="Calibri"/>
              <a:ea typeface="Calibri"/>
              <a:cs typeface="Calibri"/>
            </a:rPr>
            <a:t>Total</a:t>
          </a:r>
          <a:r>
            <a:rPr lang="en-US" sz="1100" b="1" i="1" u="none" strike="noStrike" baseline="0">
              <a:solidFill>
                <a:srgbClr val="000000"/>
              </a:solidFill>
              <a:latin typeface="Calibri"/>
              <a:ea typeface="Calibri"/>
              <a:cs typeface="Calibri"/>
            </a:rPr>
            <a:t> item in cards</a:t>
          </a:r>
          <a:endParaRPr lang="en-US" sz="1100" b="1" i="1" u="none" strike="noStrike">
            <a:solidFill>
              <a:srgbClr val="000000"/>
            </a:solidFill>
            <a:latin typeface="Calibri"/>
            <a:ea typeface="Calibri"/>
            <a:cs typeface="Calibri"/>
          </a:endParaRPr>
        </a:p>
      </xdr:txBody>
    </xdr:sp>
    <xdr:clientData/>
  </xdr:twoCellAnchor>
  <xdr:twoCellAnchor>
    <xdr:from>
      <xdr:col>7</xdr:col>
      <xdr:colOff>271221</xdr:colOff>
      <xdr:row>3</xdr:row>
      <xdr:rowOff>71037</xdr:rowOff>
    </xdr:from>
    <xdr:to>
      <xdr:col>9</xdr:col>
      <xdr:colOff>45203</xdr:colOff>
      <xdr:row>4</xdr:row>
      <xdr:rowOff>58121</xdr:rowOff>
    </xdr:to>
    <xdr:sp macro="" textlink="'Pivot Tables'!O14">
      <xdr:nvSpPr>
        <xdr:cNvPr id="38" name="Rectangle 37">
          <a:extLst>
            <a:ext uri="{FF2B5EF4-FFF2-40B4-BE49-F238E27FC236}">
              <a16:creationId xmlns:a16="http://schemas.microsoft.com/office/drawing/2014/main" id="{DDFA4A29-E4E6-4565-B7CE-0958255628DF}"/>
            </a:ext>
          </a:extLst>
        </xdr:cNvPr>
        <xdr:cNvSpPr/>
      </xdr:nvSpPr>
      <xdr:spPr>
        <a:xfrm>
          <a:off x="4520340" y="613478"/>
          <a:ext cx="988016" cy="1678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1" u="none" strike="noStrike">
              <a:solidFill>
                <a:srgbClr val="000000"/>
              </a:solidFill>
              <a:latin typeface="Calibri"/>
              <a:ea typeface="Calibri"/>
              <a:cs typeface="Calibri"/>
            </a:rPr>
            <a:t>Total</a:t>
          </a:r>
          <a:r>
            <a:rPr lang="en-US" sz="1100" b="1" i="1" u="none" strike="noStrike" baseline="0">
              <a:solidFill>
                <a:srgbClr val="000000"/>
              </a:solidFill>
              <a:latin typeface="Calibri"/>
              <a:ea typeface="Calibri"/>
              <a:cs typeface="Calibri"/>
            </a:rPr>
            <a:t> Orders</a:t>
          </a:r>
          <a:endParaRPr lang="en-US" sz="1100" b="1" i="1" u="none" strike="noStrike">
            <a:solidFill>
              <a:srgbClr val="000000"/>
            </a:solidFill>
            <a:latin typeface="Calibri"/>
            <a:ea typeface="Calibri"/>
            <a:cs typeface="Calibri"/>
          </a:endParaRPr>
        </a:p>
      </xdr:txBody>
    </xdr:sp>
    <xdr:clientData/>
  </xdr:twoCellAnchor>
  <xdr:twoCellAnchor>
    <xdr:from>
      <xdr:col>9</xdr:col>
      <xdr:colOff>45203</xdr:colOff>
      <xdr:row>3</xdr:row>
      <xdr:rowOff>77492</xdr:rowOff>
    </xdr:from>
    <xdr:to>
      <xdr:col>11</xdr:col>
      <xdr:colOff>297050</xdr:colOff>
      <xdr:row>4</xdr:row>
      <xdr:rowOff>58121</xdr:rowOff>
    </xdr:to>
    <xdr:sp macro="" textlink="'Pivot Tables'!A5">
      <xdr:nvSpPr>
        <xdr:cNvPr id="39" name="Rectangle 38">
          <a:extLst>
            <a:ext uri="{FF2B5EF4-FFF2-40B4-BE49-F238E27FC236}">
              <a16:creationId xmlns:a16="http://schemas.microsoft.com/office/drawing/2014/main" id="{E4E2B477-C26B-44F5-91A5-30C414AC69F8}"/>
            </a:ext>
          </a:extLst>
        </xdr:cNvPr>
        <xdr:cNvSpPr/>
      </xdr:nvSpPr>
      <xdr:spPr>
        <a:xfrm>
          <a:off x="5508356" y="619933"/>
          <a:ext cx="1465880" cy="1614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1" u="none" strike="noStrike">
              <a:solidFill>
                <a:srgbClr val="000000"/>
              </a:solidFill>
              <a:latin typeface="Calibri"/>
              <a:ea typeface="Calibri"/>
              <a:cs typeface="Calibri"/>
            </a:rPr>
            <a:t>Average</a:t>
          </a:r>
          <a:r>
            <a:rPr lang="en-US" sz="1100" b="1" i="1" u="none" strike="noStrike" baseline="0">
              <a:solidFill>
                <a:srgbClr val="000000"/>
              </a:solidFill>
              <a:latin typeface="Calibri"/>
              <a:ea typeface="Calibri"/>
              <a:cs typeface="Calibri"/>
            </a:rPr>
            <a:t> of units price</a:t>
          </a:r>
        </a:p>
      </xdr:txBody>
    </xdr:sp>
    <xdr:clientData/>
  </xdr:twoCellAnchor>
  <xdr:twoCellAnchor>
    <xdr:from>
      <xdr:col>1</xdr:col>
      <xdr:colOff>546314</xdr:colOff>
      <xdr:row>12</xdr:row>
      <xdr:rowOff>96198</xdr:rowOff>
    </xdr:from>
    <xdr:to>
      <xdr:col>5</xdr:col>
      <xdr:colOff>206642</xdr:colOff>
      <xdr:row>13</xdr:row>
      <xdr:rowOff>49744</xdr:rowOff>
    </xdr:to>
    <xdr:sp macro="" textlink="'Pivot Tables'!O10">
      <xdr:nvSpPr>
        <xdr:cNvPr id="40" name="Rectangle 39">
          <a:extLst>
            <a:ext uri="{FF2B5EF4-FFF2-40B4-BE49-F238E27FC236}">
              <a16:creationId xmlns:a16="http://schemas.microsoft.com/office/drawing/2014/main" id="{65BAF8F7-D931-4EC2-A980-0D2674715E05}"/>
            </a:ext>
          </a:extLst>
        </xdr:cNvPr>
        <xdr:cNvSpPr/>
      </xdr:nvSpPr>
      <xdr:spPr>
        <a:xfrm>
          <a:off x="1153331" y="2265961"/>
          <a:ext cx="2088396" cy="134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Product Wise Total Revenue</a:t>
          </a:r>
        </a:p>
      </xdr:txBody>
    </xdr:sp>
    <xdr:clientData/>
  </xdr:twoCellAnchor>
  <xdr:twoCellAnchor>
    <xdr:from>
      <xdr:col>7</xdr:col>
      <xdr:colOff>59403</xdr:colOff>
      <xdr:row>12</xdr:row>
      <xdr:rowOff>138819</xdr:rowOff>
    </xdr:from>
    <xdr:to>
      <xdr:col>10</xdr:col>
      <xdr:colOff>326749</xdr:colOff>
      <xdr:row>13</xdr:row>
      <xdr:rowOff>92365</xdr:rowOff>
    </xdr:to>
    <xdr:sp macro="" textlink="'Pivot Tables'!O10">
      <xdr:nvSpPr>
        <xdr:cNvPr id="41" name="Rectangle 40">
          <a:extLst>
            <a:ext uri="{FF2B5EF4-FFF2-40B4-BE49-F238E27FC236}">
              <a16:creationId xmlns:a16="http://schemas.microsoft.com/office/drawing/2014/main" id="{61A42679-D13C-4498-83B0-E660C20006DD}"/>
            </a:ext>
          </a:extLst>
        </xdr:cNvPr>
        <xdr:cNvSpPr/>
      </xdr:nvSpPr>
      <xdr:spPr>
        <a:xfrm>
          <a:off x="4308522" y="2308582"/>
          <a:ext cx="2088396" cy="134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Months Wise Total Revenue</a:t>
          </a:r>
        </a:p>
      </xdr:txBody>
    </xdr:sp>
    <xdr:clientData/>
  </xdr:twoCellAnchor>
  <xdr:twoCellAnchor>
    <xdr:from>
      <xdr:col>1</xdr:col>
      <xdr:colOff>193728</xdr:colOff>
      <xdr:row>21</xdr:row>
      <xdr:rowOff>45203</xdr:rowOff>
    </xdr:from>
    <xdr:to>
      <xdr:col>5</xdr:col>
      <xdr:colOff>523067</xdr:colOff>
      <xdr:row>22</xdr:row>
      <xdr:rowOff>24581</xdr:rowOff>
    </xdr:to>
    <xdr:sp macro="" textlink="'Pivot Tables'!O10">
      <xdr:nvSpPr>
        <xdr:cNvPr id="42" name="Rectangle 41">
          <a:extLst>
            <a:ext uri="{FF2B5EF4-FFF2-40B4-BE49-F238E27FC236}">
              <a16:creationId xmlns:a16="http://schemas.microsoft.com/office/drawing/2014/main" id="{BCA2D5F6-F67F-4F43-B287-BCCEFDBBEF88}"/>
            </a:ext>
          </a:extLst>
        </xdr:cNvPr>
        <xdr:cNvSpPr/>
      </xdr:nvSpPr>
      <xdr:spPr>
        <a:xfrm>
          <a:off x="800745" y="3842288"/>
          <a:ext cx="2757407" cy="1601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Quantity by Referal Sources Total Revenue</a:t>
          </a:r>
        </a:p>
      </xdr:txBody>
    </xdr:sp>
    <xdr:clientData/>
  </xdr:twoCellAnchor>
  <xdr:twoCellAnchor>
    <xdr:from>
      <xdr:col>6</xdr:col>
      <xdr:colOff>477864</xdr:colOff>
      <xdr:row>21</xdr:row>
      <xdr:rowOff>116237</xdr:rowOff>
    </xdr:from>
    <xdr:to>
      <xdr:col>10</xdr:col>
      <xdr:colOff>368085</xdr:colOff>
      <xdr:row>22</xdr:row>
      <xdr:rowOff>69780</xdr:rowOff>
    </xdr:to>
    <xdr:sp macro="" textlink="'Pivot Tables'!O10">
      <xdr:nvSpPr>
        <xdr:cNvPr id="43" name="Rectangle 42">
          <a:extLst>
            <a:ext uri="{FF2B5EF4-FFF2-40B4-BE49-F238E27FC236}">
              <a16:creationId xmlns:a16="http://schemas.microsoft.com/office/drawing/2014/main" id="{0708C16B-3AD4-4C41-85C8-C79F1E4E9BA8}"/>
            </a:ext>
          </a:extLst>
        </xdr:cNvPr>
        <xdr:cNvSpPr/>
      </xdr:nvSpPr>
      <xdr:spPr>
        <a:xfrm>
          <a:off x="4119966" y="3913322"/>
          <a:ext cx="2318288" cy="1343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Payment Method wise Total Amount</a:t>
          </a:r>
        </a:p>
      </xdr:txBody>
    </xdr:sp>
    <xdr:clientData/>
  </xdr:twoCellAnchor>
  <xdr:twoCellAnchor>
    <xdr:from>
      <xdr:col>11</xdr:col>
      <xdr:colOff>245391</xdr:colOff>
      <xdr:row>21</xdr:row>
      <xdr:rowOff>109781</xdr:rowOff>
    </xdr:from>
    <xdr:to>
      <xdr:col>13</xdr:col>
      <xdr:colOff>548899</xdr:colOff>
      <xdr:row>22</xdr:row>
      <xdr:rowOff>69778</xdr:rowOff>
    </xdr:to>
    <xdr:sp macro="" textlink="'Pivot Tables'!O10">
      <xdr:nvSpPr>
        <xdr:cNvPr id="44" name="Rectangle 43">
          <a:extLst>
            <a:ext uri="{FF2B5EF4-FFF2-40B4-BE49-F238E27FC236}">
              <a16:creationId xmlns:a16="http://schemas.microsoft.com/office/drawing/2014/main" id="{B058779A-E11B-40F5-A5DB-DBD7A22A4823}"/>
            </a:ext>
          </a:extLst>
        </xdr:cNvPr>
        <xdr:cNvSpPr/>
      </xdr:nvSpPr>
      <xdr:spPr>
        <a:xfrm>
          <a:off x="6950991" y="3950261"/>
          <a:ext cx="1522708" cy="1428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Types of Delivery </a:t>
          </a:r>
        </a:p>
      </xdr:txBody>
    </xdr:sp>
    <xdr:clientData/>
  </xdr:twoCellAnchor>
  <xdr:twoCellAnchor>
    <xdr:from>
      <xdr:col>11</xdr:col>
      <xdr:colOff>219561</xdr:colOff>
      <xdr:row>9</xdr:row>
      <xdr:rowOff>174355</xdr:rowOff>
    </xdr:from>
    <xdr:to>
      <xdr:col>13</xdr:col>
      <xdr:colOff>555358</xdr:colOff>
      <xdr:row>10</xdr:row>
      <xdr:rowOff>180811</xdr:rowOff>
    </xdr:to>
    <xdr:sp macro="" textlink="'Pivot Tables'!O10">
      <xdr:nvSpPr>
        <xdr:cNvPr id="45" name="Rectangle 44">
          <a:extLst>
            <a:ext uri="{FF2B5EF4-FFF2-40B4-BE49-F238E27FC236}">
              <a16:creationId xmlns:a16="http://schemas.microsoft.com/office/drawing/2014/main" id="{61ED0CA7-6FA2-4BE8-877C-432F8142DA16}"/>
            </a:ext>
          </a:extLst>
        </xdr:cNvPr>
        <xdr:cNvSpPr/>
      </xdr:nvSpPr>
      <xdr:spPr>
        <a:xfrm>
          <a:off x="6896747" y="1801677"/>
          <a:ext cx="1549831" cy="187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1" u="none" strike="noStrike" baseline="0">
              <a:solidFill>
                <a:srgbClr val="000000"/>
              </a:solidFill>
              <a:latin typeface="Calibri"/>
              <a:ea typeface="Calibri"/>
              <a:cs typeface="Calibri"/>
            </a:rPr>
            <a:t>Coupon Code wise Sales</a:t>
          </a:r>
        </a:p>
      </xdr:txBody>
    </xdr:sp>
    <xdr:clientData/>
  </xdr:twoCellAnchor>
  <xdr:twoCellAnchor editAs="oneCell">
    <xdr:from>
      <xdr:col>5</xdr:col>
      <xdr:colOff>288534</xdr:colOff>
      <xdr:row>0</xdr:row>
      <xdr:rowOff>59942</xdr:rowOff>
    </xdr:from>
    <xdr:to>
      <xdr:col>6</xdr:col>
      <xdr:colOff>533402</xdr:colOff>
      <xdr:row>2</xdr:row>
      <xdr:rowOff>52049</xdr:rowOff>
    </xdr:to>
    <xdr:pic>
      <xdr:nvPicPr>
        <xdr:cNvPr id="13" name="Picture 12">
          <a:extLst>
            <a:ext uri="{FF2B5EF4-FFF2-40B4-BE49-F238E27FC236}">
              <a16:creationId xmlns:a16="http://schemas.microsoft.com/office/drawing/2014/main" id="{9963D57D-712C-9764-41F8-42121FE3BF8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36534" y="59942"/>
          <a:ext cx="854468" cy="352325"/>
        </a:xfrm>
        <a:prstGeom prst="rect">
          <a:avLst/>
        </a:prstGeom>
      </xdr:spPr>
    </xdr:pic>
    <xdr:clientData/>
  </xdr:twoCellAnchor>
  <xdr:twoCellAnchor editAs="oneCell">
    <xdr:from>
      <xdr:col>7</xdr:col>
      <xdr:colOff>383123</xdr:colOff>
      <xdr:row>0</xdr:row>
      <xdr:rowOff>50622</xdr:rowOff>
    </xdr:from>
    <xdr:to>
      <xdr:col>8</xdr:col>
      <xdr:colOff>484908</xdr:colOff>
      <xdr:row>2</xdr:row>
      <xdr:rowOff>83127</xdr:rowOff>
    </xdr:to>
    <xdr:pic>
      <xdr:nvPicPr>
        <xdr:cNvPr id="15" name="Picture 14">
          <a:extLst>
            <a:ext uri="{FF2B5EF4-FFF2-40B4-BE49-F238E27FC236}">
              <a16:creationId xmlns:a16="http://schemas.microsoft.com/office/drawing/2014/main" id="{E564B166-FF9D-EBE6-35B3-BD3931755A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650323" y="50622"/>
          <a:ext cx="711385" cy="392723"/>
        </a:xfrm>
        <a:prstGeom prst="rect">
          <a:avLst/>
        </a:prstGeom>
      </xdr:spPr>
    </xdr:pic>
    <xdr:clientData/>
  </xdr:twoCellAnchor>
  <xdr:twoCellAnchor editAs="oneCell">
    <xdr:from>
      <xdr:col>9</xdr:col>
      <xdr:colOff>380990</xdr:colOff>
      <xdr:row>0</xdr:row>
      <xdr:rowOff>33102</xdr:rowOff>
    </xdr:from>
    <xdr:to>
      <xdr:col>10</xdr:col>
      <xdr:colOff>581892</xdr:colOff>
      <xdr:row>2</xdr:row>
      <xdr:rowOff>131618</xdr:rowOff>
    </xdr:to>
    <xdr:pic>
      <xdr:nvPicPr>
        <xdr:cNvPr id="48" name="Picture 47">
          <a:extLst>
            <a:ext uri="{FF2B5EF4-FFF2-40B4-BE49-F238E27FC236}">
              <a16:creationId xmlns:a16="http://schemas.microsoft.com/office/drawing/2014/main" id="{693E7F40-993B-5E30-A4CA-42B37EB2DF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867390" y="33102"/>
          <a:ext cx="810502" cy="458734"/>
        </a:xfrm>
        <a:prstGeom prst="rect">
          <a:avLst/>
        </a:prstGeom>
      </xdr:spPr>
    </xdr:pic>
    <xdr:clientData/>
  </xdr:twoCellAnchor>
  <xdr:twoCellAnchor editAs="oneCell">
    <xdr:from>
      <xdr:col>1</xdr:col>
      <xdr:colOff>406290</xdr:colOff>
      <xdr:row>0</xdr:row>
      <xdr:rowOff>81703</xdr:rowOff>
    </xdr:from>
    <xdr:to>
      <xdr:col>2</xdr:col>
      <xdr:colOff>340999</xdr:colOff>
      <xdr:row>2</xdr:row>
      <xdr:rowOff>48490</xdr:rowOff>
    </xdr:to>
    <xdr:pic>
      <xdr:nvPicPr>
        <xdr:cNvPr id="50" name="Picture 49">
          <a:extLst>
            <a:ext uri="{FF2B5EF4-FFF2-40B4-BE49-F238E27FC236}">
              <a16:creationId xmlns:a16="http://schemas.microsoft.com/office/drawing/2014/main" id="{D65E281E-A28A-D6F9-067D-74962E09444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15890" y="81703"/>
          <a:ext cx="544309" cy="327005"/>
        </a:xfrm>
        <a:prstGeom prst="rect">
          <a:avLst/>
        </a:prstGeom>
      </xdr:spPr>
    </xdr:pic>
    <xdr:clientData/>
  </xdr:twoCellAnchor>
  <xdr:twoCellAnchor editAs="oneCell">
    <xdr:from>
      <xdr:col>3</xdr:col>
      <xdr:colOff>369258</xdr:colOff>
      <xdr:row>0</xdr:row>
      <xdr:rowOff>84156</xdr:rowOff>
    </xdr:from>
    <xdr:to>
      <xdr:col>4</xdr:col>
      <xdr:colOff>422549</xdr:colOff>
      <xdr:row>2</xdr:row>
      <xdr:rowOff>69273</xdr:rowOff>
    </xdr:to>
    <xdr:pic>
      <xdr:nvPicPr>
        <xdr:cNvPr id="52" name="Picture 51">
          <a:extLst>
            <a:ext uri="{FF2B5EF4-FFF2-40B4-BE49-F238E27FC236}">
              <a16:creationId xmlns:a16="http://schemas.microsoft.com/office/drawing/2014/main" id="{16284C84-FD92-6D0A-70CA-88A324C8AF2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98058" y="84156"/>
          <a:ext cx="662891" cy="345335"/>
        </a:xfrm>
        <a:prstGeom prst="rect">
          <a:avLst/>
        </a:prstGeom>
      </xdr:spPr>
    </xdr:pic>
    <xdr:clientData/>
  </xdr:twoCellAnchor>
  <xdr:twoCellAnchor editAs="oneCell">
    <xdr:from>
      <xdr:col>0</xdr:col>
      <xdr:colOff>6931</xdr:colOff>
      <xdr:row>5</xdr:row>
      <xdr:rowOff>138536</xdr:rowOff>
    </xdr:from>
    <xdr:to>
      <xdr:col>1</xdr:col>
      <xdr:colOff>32076</xdr:colOff>
      <xdr:row>11</xdr:row>
      <xdr:rowOff>63721</xdr:rowOff>
    </xdr:to>
    <mc:AlternateContent xmlns:mc="http://schemas.openxmlformats.org/markup-compatibility/2006">
      <mc:Choice xmlns:a14="http://schemas.microsoft.com/office/drawing/2010/main" Requires="a14">
        <xdr:graphicFrame macro="">
          <xdr:nvGraphicFramePr>
            <xdr:cNvPr id="53" name="Years (Date)">
              <a:extLst>
                <a:ext uri="{FF2B5EF4-FFF2-40B4-BE49-F238E27FC236}">
                  <a16:creationId xmlns:a16="http://schemas.microsoft.com/office/drawing/2014/main" id="{668D0287-0564-4EFA-B836-53AC57E062C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931" y="1039081"/>
              <a:ext cx="634745"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173176</xdr:rowOff>
    </xdr:from>
    <xdr:to>
      <xdr:col>1</xdr:col>
      <xdr:colOff>41564</xdr:colOff>
      <xdr:row>21</xdr:row>
      <xdr:rowOff>131615</xdr:rowOff>
    </xdr:to>
    <mc:AlternateContent xmlns:mc="http://schemas.openxmlformats.org/markup-compatibility/2006">
      <mc:Choice xmlns:a14="http://schemas.microsoft.com/office/drawing/2010/main" Requires="a14">
        <xdr:graphicFrame macro="">
          <xdr:nvGraphicFramePr>
            <xdr:cNvPr id="54" name="PaymentMethod">
              <a:extLst>
                <a:ext uri="{FF2B5EF4-FFF2-40B4-BE49-F238E27FC236}">
                  <a16:creationId xmlns:a16="http://schemas.microsoft.com/office/drawing/2014/main" id="{95BD7977-C327-4894-ACC2-FD760326A08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0" y="2514594"/>
              <a:ext cx="651164" cy="1399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11</xdr:row>
      <xdr:rowOff>159327</xdr:rowOff>
    </xdr:from>
    <xdr:to>
      <xdr:col>1</xdr:col>
      <xdr:colOff>20783</xdr:colOff>
      <xdr:row>13</xdr:row>
      <xdr:rowOff>173180</xdr:rowOff>
    </xdr:to>
    <xdr:sp macro="" textlink="'Pivot Tables'!O14">
      <xdr:nvSpPr>
        <xdr:cNvPr id="55" name="Rectangle 54">
          <a:extLst>
            <a:ext uri="{FF2B5EF4-FFF2-40B4-BE49-F238E27FC236}">
              <a16:creationId xmlns:a16="http://schemas.microsoft.com/office/drawing/2014/main" id="{FF5A29DA-957D-4E14-8386-DEB549DD249C}"/>
            </a:ext>
          </a:extLst>
        </xdr:cNvPr>
        <xdr:cNvSpPr/>
      </xdr:nvSpPr>
      <xdr:spPr>
        <a:xfrm>
          <a:off x="1" y="2140527"/>
          <a:ext cx="630382" cy="374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900" b="1" i="1" u="none" strike="noStrike" baseline="0">
              <a:solidFill>
                <a:srgbClr val="000000"/>
              </a:solidFill>
              <a:latin typeface="Calibri"/>
              <a:ea typeface="Calibri"/>
              <a:cs typeface="Calibri"/>
            </a:rPr>
            <a:t>payment method</a:t>
          </a:r>
          <a:endParaRPr lang="en-US" sz="900" b="1" i="1" u="none" strike="noStrike">
            <a:solidFill>
              <a:srgbClr val="000000"/>
            </a:solidFill>
            <a:latin typeface="Calibri"/>
            <a:ea typeface="Calibri"/>
            <a:cs typeface="Calibri"/>
          </a:endParaRPr>
        </a:p>
      </xdr:txBody>
    </xdr:sp>
    <xdr:clientData/>
  </xdr:twoCellAnchor>
  <xdr:twoCellAnchor>
    <xdr:from>
      <xdr:col>0</xdr:col>
      <xdr:colOff>0</xdr:colOff>
      <xdr:row>3</xdr:row>
      <xdr:rowOff>117765</xdr:rowOff>
    </xdr:from>
    <xdr:to>
      <xdr:col>1</xdr:col>
      <xdr:colOff>41564</xdr:colOff>
      <xdr:row>5</xdr:row>
      <xdr:rowOff>145475</xdr:rowOff>
    </xdr:to>
    <xdr:sp macro="" textlink="'Pivot Tables'!O14">
      <xdr:nvSpPr>
        <xdr:cNvPr id="56" name="Rectangle 55">
          <a:extLst>
            <a:ext uri="{FF2B5EF4-FFF2-40B4-BE49-F238E27FC236}">
              <a16:creationId xmlns:a16="http://schemas.microsoft.com/office/drawing/2014/main" id="{DACA018C-41A8-499B-A790-D0615E321AEC}"/>
            </a:ext>
          </a:extLst>
        </xdr:cNvPr>
        <xdr:cNvSpPr/>
      </xdr:nvSpPr>
      <xdr:spPr>
        <a:xfrm>
          <a:off x="0" y="658092"/>
          <a:ext cx="651164" cy="3879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900" b="1" i="1" u="none" strike="noStrike" baseline="0">
              <a:solidFill>
                <a:srgbClr val="000000"/>
              </a:solidFill>
              <a:latin typeface="Calibri"/>
              <a:ea typeface="Calibri"/>
              <a:cs typeface="Calibri"/>
            </a:rPr>
            <a:t>Year wise sales</a:t>
          </a:r>
          <a:endParaRPr lang="en-US" sz="900" b="1" i="1" u="none" strike="noStrike">
            <a:solidFill>
              <a:srgbClr val="000000"/>
            </a:solidFill>
            <a:latin typeface="Calibri"/>
            <a:ea typeface="Calibri"/>
            <a:cs typeface="Calibri"/>
          </a:endParaRPr>
        </a:p>
      </xdr:txBody>
    </xdr:sp>
    <xdr:clientData/>
  </xdr:twoCellAnchor>
  <xdr:twoCellAnchor editAs="oneCell">
    <xdr:from>
      <xdr:col>0</xdr:col>
      <xdr:colOff>1</xdr:colOff>
      <xdr:row>0</xdr:row>
      <xdr:rowOff>62345</xdr:rowOff>
    </xdr:from>
    <xdr:to>
      <xdr:col>1</xdr:col>
      <xdr:colOff>34637</xdr:colOff>
      <xdr:row>3</xdr:row>
      <xdr:rowOff>76198</xdr:rowOff>
    </xdr:to>
    <xdr:pic>
      <xdr:nvPicPr>
        <xdr:cNvPr id="59" name="Picture 58">
          <a:extLst>
            <a:ext uri="{FF2B5EF4-FFF2-40B4-BE49-F238E27FC236}">
              <a16:creationId xmlns:a16="http://schemas.microsoft.com/office/drawing/2014/main" id="{40C199B5-9DDD-7EC8-F72B-DD970127752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 y="62345"/>
          <a:ext cx="644236" cy="5541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hair" refreshedDate="46264.771887499999" backgroundQuery="1" createdVersion="8" refreshedVersion="8" minRefreshableVersion="3" recordCount="1200" xr:uid="{68852DDB-FEC1-4367-A817-DB16F0B33901}">
  <cacheSource type="external" connectionId="1"/>
  <cacheFields count="17">
    <cacheField name="OrderID" numFmtId="0">
      <sharedItems/>
    </cacheField>
    <cacheField name="Date" numFmtId="0">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819415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x v="0"/>
    <n v="570.62"/>
    <x v="0"/>
    <x v="0"/>
    <x v="0"/>
    <x v="0"/>
    <x v="0"/>
    <x v="0"/>
    <x v="0"/>
    <n v="2853.1"/>
  </r>
  <r>
    <s v="ORD200001"/>
    <x v="1"/>
    <x v="1"/>
    <x v="1"/>
    <x v="1"/>
    <n v="151.35"/>
    <x v="1"/>
    <x v="1"/>
    <x v="0"/>
    <x v="1"/>
    <x v="1"/>
    <x v="0"/>
    <x v="1"/>
    <n v="302.7"/>
  </r>
  <r>
    <s v="ORD200002"/>
    <x v="2"/>
    <x v="2"/>
    <x v="2"/>
    <x v="0"/>
    <n v="550.67999999999995"/>
    <x v="2"/>
    <x v="2"/>
    <x v="1"/>
    <x v="2"/>
    <x v="2"/>
    <x v="1"/>
    <x v="2"/>
    <n v="2753.4"/>
  </r>
  <r>
    <s v="ORD200003"/>
    <x v="3"/>
    <x v="3"/>
    <x v="3"/>
    <x v="2"/>
    <n v="273.19"/>
    <x v="3"/>
    <x v="0"/>
    <x v="2"/>
    <x v="3"/>
    <x v="3"/>
    <x v="0"/>
    <x v="3"/>
    <n v="273.19"/>
  </r>
  <r>
    <s v="ORD200004"/>
    <x v="4"/>
    <x v="4"/>
    <x v="4"/>
    <x v="3"/>
    <n v="626.01"/>
    <x v="4"/>
    <x v="1"/>
    <x v="3"/>
    <x v="4"/>
    <x v="2"/>
    <x v="0"/>
    <x v="2"/>
    <n v="2504.04"/>
  </r>
  <r>
    <s v="ORD200005"/>
    <x v="5"/>
    <x v="5"/>
    <x v="1"/>
    <x v="1"/>
    <n v="245.86"/>
    <x v="5"/>
    <x v="2"/>
    <x v="0"/>
    <x v="5"/>
    <x v="4"/>
    <x v="0"/>
    <x v="0"/>
    <n v="491.72"/>
  </r>
  <r>
    <s v="ORD200006"/>
    <x v="6"/>
    <x v="6"/>
    <x v="5"/>
    <x v="2"/>
    <n v="664.42"/>
    <x v="6"/>
    <x v="3"/>
    <x v="2"/>
    <x v="6"/>
    <x v="5"/>
    <x v="0"/>
    <x v="3"/>
    <n v="664.42"/>
  </r>
  <r>
    <s v="ORD200007"/>
    <x v="7"/>
    <x v="7"/>
    <x v="0"/>
    <x v="0"/>
    <n v="149.55000000000001"/>
    <x v="7"/>
    <x v="4"/>
    <x v="0"/>
    <x v="7"/>
    <x v="6"/>
    <x v="1"/>
    <x v="3"/>
    <n v="747.75"/>
  </r>
  <r>
    <s v="ORD200008"/>
    <x v="8"/>
    <x v="8"/>
    <x v="1"/>
    <x v="1"/>
    <n v="134.28"/>
    <x v="8"/>
    <x v="3"/>
    <x v="1"/>
    <x v="8"/>
    <x v="7"/>
    <x v="2"/>
    <x v="2"/>
    <n v="268.56"/>
  </r>
  <r>
    <s v="ORD200009"/>
    <x v="9"/>
    <x v="9"/>
    <x v="6"/>
    <x v="3"/>
    <n v="509.38"/>
    <x v="9"/>
    <x v="2"/>
    <x v="0"/>
    <x v="9"/>
    <x v="5"/>
    <x v="0"/>
    <x v="4"/>
    <n v="2037.52"/>
  </r>
  <r>
    <s v="ORD200010"/>
    <x v="10"/>
    <x v="10"/>
    <x v="2"/>
    <x v="0"/>
    <n v="625.97"/>
    <x v="10"/>
    <x v="2"/>
    <x v="2"/>
    <x v="10"/>
    <x v="6"/>
    <x v="3"/>
    <x v="0"/>
    <n v="3129.85"/>
  </r>
  <r>
    <s v="ORD200011"/>
    <x v="11"/>
    <x v="11"/>
    <x v="0"/>
    <x v="4"/>
    <n v="49.14"/>
    <x v="11"/>
    <x v="1"/>
    <x v="2"/>
    <x v="11"/>
    <x v="0"/>
    <x v="0"/>
    <x v="2"/>
    <n v="147.41999999999999"/>
  </r>
  <r>
    <s v="ORD200012"/>
    <x v="12"/>
    <x v="12"/>
    <x v="0"/>
    <x v="1"/>
    <n v="180.5"/>
    <x v="12"/>
    <x v="0"/>
    <x v="4"/>
    <x v="12"/>
    <x v="5"/>
    <x v="1"/>
    <x v="1"/>
    <n v="361"/>
  </r>
  <r>
    <s v="ORD200013"/>
    <x v="13"/>
    <x v="13"/>
    <x v="5"/>
    <x v="4"/>
    <n v="201.49"/>
    <x v="13"/>
    <x v="2"/>
    <x v="2"/>
    <x v="13"/>
    <x v="4"/>
    <x v="1"/>
    <x v="3"/>
    <n v="604.47"/>
  </r>
  <r>
    <s v="ORD200014"/>
    <x v="14"/>
    <x v="14"/>
    <x v="2"/>
    <x v="1"/>
    <n v="393.33"/>
    <x v="14"/>
    <x v="0"/>
    <x v="4"/>
    <x v="14"/>
    <x v="1"/>
    <x v="0"/>
    <x v="0"/>
    <n v="786.66"/>
  </r>
  <r>
    <s v="ORD200015"/>
    <x v="15"/>
    <x v="15"/>
    <x v="4"/>
    <x v="2"/>
    <n v="473.96"/>
    <x v="15"/>
    <x v="4"/>
    <x v="3"/>
    <x v="15"/>
    <x v="1"/>
    <x v="2"/>
    <x v="4"/>
    <n v="473.96"/>
  </r>
  <r>
    <s v="ORD200016"/>
    <x v="16"/>
    <x v="16"/>
    <x v="4"/>
    <x v="1"/>
    <n v="533.80999999999995"/>
    <x v="16"/>
    <x v="2"/>
    <x v="4"/>
    <x v="16"/>
    <x v="1"/>
    <x v="1"/>
    <x v="2"/>
    <n v="1067.6199999999999"/>
  </r>
  <r>
    <s v="ORD200017"/>
    <x v="17"/>
    <x v="17"/>
    <x v="2"/>
    <x v="2"/>
    <n v="423.4"/>
    <x v="17"/>
    <x v="0"/>
    <x v="0"/>
    <x v="17"/>
    <x v="1"/>
    <x v="2"/>
    <x v="1"/>
    <n v="423.4"/>
  </r>
  <r>
    <s v="ORD200018"/>
    <x v="18"/>
    <x v="18"/>
    <x v="6"/>
    <x v="2"/>
    <n v="431.44"/>
    <x v="18"/>
    <x v="3"/>
    <x v="4"/>
    <x v="18"/>
    <x v="1"/>
    <x v="0"/>
    <x v="3"/>
    <n v="431.44"/>
  </r>
  <r>
    <s v="ORD200019"/>
    <x v="19"/>
    <x v="19"/>
    <x v="0"/>
    <x v="0"/>
    <n v="224"/>
    <x v="19"/>
    <x v="4"/>
    <x v="2"/>
    <x v="19"/>
    <x v="6"/>
    <x v="0"/>
    <x v="4"/>
    <n v="1120"/>
  </r>
  <r>
    <s v="ORD200020"/>
    <x v="20"/>
    <x v="20"/>
    <x v="3"/>
    <x v="0"/>
    <n v="62.51"/>
    <x v="20"/>
    <x v="4"/>
    <x v="4"/>
    <x v="20"/>
    <x v="6"/>
    <x v="3"/>
    <x v="0"/>
    <n v="312.55"/>
  </r>
  <r>
    <s v="ORD200021"/>
    <x v="21"/>
    <x v="21"/>
    <x v="0"/>
    <x v="3"/>
    <n v="342.95"/>
    <x v="21"/>
    <x v="4"/>
    <x v="3"/>
    <x v="21"/>
    <x v="5"/>
    <x v="2"/>
    <x v="4"/>
    <n v="1371.8"/>
  </r>
  <r>
    <s v="ORD200022"/>
    <x v="22"/>
    <x v="22"/>
    <x v="0"/>
    <x v="1"/>
    <n v="49.62"/>
    <x v="22"/>
    <x v="1"/>
    <x v="4"/>
    <x v="22"/>
    <x v="7"/>
    <x v="0"/>
    <x v="4"/>
    <n v="99.24"/>
  </r>
  <r>
    <s v="ORD200023"/>
    <x v="23"/>
    <x v="23"/>
    <x v="1"/>
    <x v="3"/>
    <n v="273.25"/>
    <x v="23"/>
    <x v="0"/>
    <x v="1"/>
    <x v="23"/>
    <x v="3"/>
    <x v="1"/>
    <x v="1"/>
    <n v="1093"/>
  </r>
  <r>
    <s v="ORD200024"/>
    <x v="24"/>
    <x v="24"/>
    <x v="5"/>
    <x v="1"/>
    <n v="230.95"/>
    <x v="24"/>
    <x v="1"/>
    <x v="3"/>
    <x v="24"/>
    <x v="1"/>
    <x v="3"/>
    <x v="1"/>
    <n v="461.9"/>
  </r>
  <r>
    <s v="ORD200025"/>
    <x v="25"/>
    <x v="25"/>
    <x v="0"/>
    <x v="2"/>
    <n v="399.98"/>
    <x v="25"/>
    <x v="0"/>
    <x v="3"/>
    <x v="25"/>
    <x v="1"/>
    <x v="3"/>
    <x v="2"/>
    <n v="399.98"/>
  </r>
  <r>
    <s v="ORD200026"/>
    <x v="26"/>
    <x v="26"/>
    <x v="5"/>
    <x v="0"/>
    <n v="59.55"/>
    <x v="26"/>
    <x v="1"/>
    <x v="3"/>
    <x v="26"/>
    <x v="5"/>
    <x v="2"/>
    <x v="1"/>
    <n v="297.75"/>
  </r>
  <r>
    <s v="ORD200027"/>
    <x v="27"/>
    <x v="27"/>
    <x v="4"/>
    <x v="2"/>
    <n v="472.74"/>
    <x v="27"/>
    <x v="1"/>
    <x v="0"/>
    <x v="27"/>
    <x v="5"/>
    <x v="3"/>
    <x v="4"/>
    <n v="472.74"/>
  </r>
  <r>
    <s v="ORD200028"/>
    <x v="9"/>
    <x v="28"/>
    <x v="1"/>
    <x v="3"/>
    <n v="160.07"/>
    <x v="28"/>
    <x v="1"/>
    <x v="4"/>
    <x v="28"/>
    <x v="3"/>
    <x v="2"/>
    <x v="2"/>
    <n v="640.28"/>
  </r>
  <r>
    <s v="ORD200029"/>
    <x v="28"/>
    <x v="29"/>
    <x v="6"/>
    <x v="4"/>
    <n v="423.53"/>
    <x v="29"/>
    <x v="2"/>
    <x v="3"/>
    <x v="29"/>
    <x v="5"/>
    <x v="0"/>
    <x v="1"/>
    <n v="1270.5899999999999"/>
  </r>
  <r>
    <s v="ORD200030"/>
    <x v="29"/>
    <x v="30"/>
    <x v="0"/>
    <x v="1"/>
    <n v="426.7"/>
    <x v="30"/>
    <x v="1"/>
    <x v="4"/>
    <x v="30"/>
    <x v="3"/>
    <x v="0"/>
    <x v="1"/>
    <n v="853.4"/>
  </r>
  <r>
    <s v="ORD200031"/>
    <x v="30"/>
    <x v="31"/>
    <x v="3"/>
    <x v="4"/>
    <n v="500.08"/>
    <x v="31"/>
    <x v="0"/>
    <x v="2"/>
    <x v="31"/>
    <x v="5"/>
    <x v="2"/>
    <x v="3"/>
    <n v="1500.24"/>
  </r>
  <r>
    <s v="ORD200032"/>
    <x v="31"/>
    <x v="32"/>
    <x v="2"/>
    <x v="0"/>
    <n v="536.72"/>
    <x v="32"/>
    <x v="4"/>
    <x v="3"/>
    <x v="32"/>
    <x v="8"/>
    <x v="2"/>
    <x v="2"/>
    <n v="2683.6"/>
  </r>
  <r>
    <s v="ORD200033"/>
    <x v="32"/>
    <x v="33"/>
    <x v="3"/>
    <x v="2"/>
    <n v="162.77000000000001"/>
    <x v="33"/>
    <x v="1"/>
    <x v="1"/>
    <x v="33"/>
    <x v="4"/>
    <x v="3"/>
    <x v="3"/>
    <n v="162.77000000000001"/>
  </r>
  <r>
    <s v="ORD200034"/>
    <x v="33"/>
    <x v="34"/>
    <x v="3"/>
    <x v="3"/>
    <n v="576.52"/>
    <x v="34"/>
    <x v="2"/>
    <x v="4"/>
    <x v="34"/>
    <x v="3"/>
    <x v="3"/>
    <x v="3"/>
    <n v="2306.08"/>
  </r>
  <r>
    <s v="ORD200035"/>
    <x v="34"/>
    <x v="35"/>
    <x v="0"/>
    <x v="1"/>
    <n v="465.15"/>
    <x v="35"/>
    <x v="1"/>
    <x v="0"/>
    <x v="35"/>
    <x v="7"/>
    <x v="0"/>
    <x v="3"/>
    <n v="930.3"/>
  </r>
  <r>
    <s v="ORD200036"/>
    <x v="4"/>
    <x v="36"/>
    <x v="5"/>
    <x v="1"/>
    <n v="534.42999999999995"/>
    <x v="36"/>
    <x v="0"/>
    <x v="4"/>
    <x v="36"/>
    <x v="3"/>
    <x v="2"/>
    <x v="3"/>
    <n v="1068.8599999999999"/>
  </r>
  <r>
    <s v="ORD200037"/>
    <x v="35"/>
    <x v="37"/>
    <x v="5"/>
    <x v="1"/>
    <n v="76.739999999999995"/>
    <x v="37"/>
    <x v="4"/>
    <x v="2"/>
    <x v="37"/>
    <x v="0"/>
    <x v="0"/>
    <x v="0"/>
    <n v="153.47999999999999"/>
  </r>
  <r>
    <s v="ORD200038"/>
    <x v="36"/>
    <x v="38"/>
    <x v="5"/>
    <x v="2"/>
    <n v="245.89"/>
    <x v="38"/>
    <x v="0"/>
    <x v="3"/>
    <x v="38"/>
    <x v="1"/>
    <x v="0"/>
    <x v="4"/>
    <n v="245.89"/>
  </r>
  <r>
    <s v="ORD200039"/>
    <x v="37"/>
    <x v="39"/>
    <x v="4"/>
    <x v="4"/>
    <n v="256.45999999999998"/>
    <x v="39"/>
    <x v="2"/>
    <x v="3"/>
    <x v="39"/>
    <x v="4"/>
    <x v="0"/>
    <x v="1"/>
    <n v="769.37999999999988"/>
  </r>
  <r>
    <s v="ORD200040"/>
    <x v="38"/>
    <x v="40"/>
    <x v="6"/>
    <x v="1"/>
    <n v="344.02"/>
    <x v="40"/>
    <x v="1"/>
    <x v="3"/>
    <x v="40"/>
    <x v="4"/>
    <x v="1"/>
    <x v="0"/>
    <n v="688.04"/>
  </r>
  <r>
    <s v="ORD200041"/>
    <x v="39"/>
    <x v="41"/>
    <x v="0"/>
    <x v="4"/>
    <n v="611.45000000000005"/>
    <x v="41"/>
    <x v="3"/>
    <x v="4"/>
    <x v="41"/>
    <x v="4"/>
    <x v="1"/>
    <x v="0"/>
    <n v="1834.35"/>
  </r>
  <r>
    <s v="ORD200042"/>
    <x v="40"/>
    <x v="42"/>
    <x v="4"/>
    <x v="1"/>
    <n v="151.66"/>
    <x v="14"/>
    <x v="4"/>
    <x v="1"/>
    <x v="42"/>
    <x v="5"/>
    <x v="2"/>
    <x v="0"/>
    <n v="303.32"/>
  </r>
  <r>
    <s v="ORD200043"/>
    <x v="41"/>
    <x v="43"/>
    <x v="3"/>
    <x v="4"/>
    <n v="499.21"/>
    <x v="42"/>
    <x v="1"/>
    <x v="1"/>
    <x v="43"/>
    <x v="2"/>
    <x v="2"/>
    <x v="0"/>
    <n v="1497.63"/>
  </r>
  <r>
    <s v="ORD200044"/>
    <x v="42"/>
    <x v="44"/>
    <x v="1"/>
    <x v="1"/>
    <n v="550.17999999999995"/>
    <x v="31"/>
    <x v="3"/>
    <x v="2"/>
    <x v="44"/>
    <x v="1"/>
    <x v="1"/>
    <x v="1"/>
    <n v="1100.3599999999999"/>
  </r>
  <r>
    <s v="ORD200045"/>
    <x v="43"/>
    <x v="45"/>
    <x v="3"/>
    <x v="2"/>
    <n v="317.25"/>
    <x v="43"/>
    <x v="0"/>
    <x v="2"/>
    <x v="45"/>
    <x v="9"/>
    <x v="0"/>
    <x v="3"/>
    <n v="317.25"/>
  </r>
  <r>
    <s v="ORD200046"/>
    <x v="44"/>
    <x v="46"/>
    <x v="0"/>
    <x v="3"/>
    <n v="550.14"/>
    <x v="44"/>
    <x v="0"/>
    <x v="4"/>
    <x v="46"/>
    <x v="4"/>
    <x v="1"/>
    <x v="0"/>
    <n v="2200.56"/>
  </r>
  <r>
    <s v="ORD200047"/>
    <x v="45"/>
    <x v="47"/>
    <x v="6"/>
    <x v="1"/>
    <n v="209.94"/>
    <x v="45"/>
    <x v="2"/>
    <x v="2"/>
    <x v="47"/>
    <x v="1"/>
    <x v="1"/>
    <x v="2"/>
    <n v="419.88"/>
  </r>
  <r>
    <s v="ORD200048"/>
    <x v="46"/>
    <x v="48"/>
    <x v="0"/>
    <x v="1"/>
    <n v="80.77"/>
    <x v="46"/>
    <x v="0"/>
    <x v="0"/>
    <x v="48"/>
    <x v="4"/>
    <x v="2"/>
    <x v="4"/>
    <n v="161.54"/>
  </r>
  <r>
    <s v="ORD200049"/>
    <x v="47"/>
    <x v="49"/>
    <x v="4"/>
    <x v="2"/>
    <n v="30.44"/>
    <x v="22"/>
    <x v="2"/>
    <x v="0"/>
    <x v="49"/>
    <x v="9"/>
    <x v="0"/>
    <x v="2"/>
    <n v="30.44"/>
  </r>
  <r>
    <s v="ORD200050"/>
    <x v="48"/>
    <x v="50"/>
    <x v="2"/>
    <x v="2"/>
    <n v="179.22"/>
    <x v="47"/>
    <x v="1"/>
    <x v="1"/>
    <x v="50"/>
    <x v="5"/>
    <x v="1"/>
    <x v="0"/>
    <n v="179.22"/>
  </r>
  <r>
    <s v="ORD200051"/>
    <x v="49"/>
    <x v="51"/>
    <x v="2"/>
    <x v="2"/>
    <n v="388.33"/>
    <x v="48"/>
    <x v="4"/>
    <x v="2"/>
    <x v="51"/>
    <x v="7"/>
    <x v="0"/>
    <x v="3"/>
    <n v="388.33"/>
  </r>
  <r>
    <s v="ORD200052"/>
    <x v="50"/>
    <x v="52"/>
    <x v="2"/>
    <x v="2"/>
    <n v="586.44000000000005"/>
    <x v="49"/>
    <x v="1"/>
    <x v="2"/>
    <x v="52"/>
    <x v="3"/>
    <x v="0"/>
    <x v="3"/>
    <n v="586.44000000000005"/>
  </r>
  <r>
    <s v="ORD200053"/>
    <x v="51"/>
    <x v="53"/>
    <x v="1"/>
    <x v="3"/>
    <n v="488.78"/>
    <x v="2"/>
    <x v="1"/>
    <x v="2"/>
    <x v="53"/>
    <x v="3"/>
    <x v="1"/>
    <x v="4"/>
    <n v="1955.12"/>
  </r>
  <r>
    <s v="ORD200054"/>
    <x v="52"/>
    <x v="54"/>
    <x v="3"/>
    <x v="2"/>
    <n v="280.25"/>
    <x v="50"/>
    <x v="1"/>
    <x v="4"/>
    <x v="54"/>
    <x v="3"/>
    <x v="3"/>
    <x v="2"/>
    <n v="280.25"/>
  </r>
  <r>
    <s v="ORD200055"/>
    <x v="53"/>
    <x v="55"/>
    <x v="4"/>
    <x v="4"/>
    <n v="344.4"/>
    <x v="51"/>
    <x v="1"/>
    <x v="1"/>
    <x v="55"/>
    <x v="1"/>
    <x v="2"/>
    <x v="3"/>
    <n v="1033.2"/>
  </r>
  <r>
    <s v="ORD200056"/>
    <x v="54"/>
    <x v="56"/>
    <x v="2"/>
    <x v="4"/>
    <n v="479.21"/>
    <x v="52"/>
    <x v="4"/>
    <x v="1"/>
    <x v="56"/>
    <x v="3"/>
    <x v="3"/>
    <x v="1"/>
    <n v="1437.63"/>
  </r>
  <r>
    <s v="ORD200057"/>
    <x v="55"/>
    <x v="57"/>
    <x v="4"/>
    <x v="0"/>
    <n v="314.27"/>
    <x v="53"/>
    <x v="4"/>
    <x v="2"/>
    <x v="57"/>
    <x v="5"/>
    <x v="0"/>
    <x v="0"/>
    <n v="1571.35"/>
  </r>
  <r>
    <s v="ORD200058"/>
    <x v="56"/>
    <x v="58"/>
    <x v="1"/>
    <x v="3"/>
    <n v="474.69"/>
    <x v="54"/>
    <x v="3"/>
    <x v="1"/>
    <x v="58"/>
    <x v="5"/>
    <x v="0"/>
    <x v="4"/>
    <n v="1898.76"/>
  </r>
  <r>
    <s v="ORD200059"/>
    <x v="57"/>
    <x v="59"/>
    <x v="3"/>
    <x v="3"/>
    <n v="593.27"/>
    <x v="55"/>
    <x v="1"/>
    <x v="0"/>
    <x v="59"/>
    <x v="3"/>
    <x v="2"/>
    <x v="3"/>
    <n v="2373.08"/>
  </r>
  <r>
    <s v="ORD200060"/>
    <x v="58"/>
    <x v="60"/>
    <x v="6"/>
    <x v="2"/>
    <n v="417.1"/>
    <x v="56"/>
    <x v="0"/>
    <x v="2"/>
    <x v="60"/>
    <x v="1"/>
    <x v="1"/>
    <x v="1"/>
    <n v="417.1"/>
  </r>
  <r>
    <s v="ORD200061"/>
    <x v="59"/>
    <x v="61"/>
    <x v="6"/>
    <x v="3"/>
    <n v="122.2"/>
    <x v="57"/>
    <x v="4"/>
    <x v="3"/>
    <x v="61"/>
    <x v="0"/>
    <x v="1"/>
    <x v="3"/>
    <n v="488.8"/>
  </r>
  <r>
    <s v="ORD200062"/>
    <x v="60"/>
    <x v="62"/>
    <x v="6"/>
    <x v="1"/>
    <n v="43.15"/>
    <x v="58"/>
    <x v="0"/>
    <x v="4"/>
    <x v="62"/>
    <x v="1"/>
    <x v="3"/>
    <x v="2"/>
    <n v="86.3"/>
  </r>
  <r>
    <s v="ORD200063"/>
    <x v="61"/>
    <x v="63"/>
    <x v="3"/>
    <x v="2"/>
    <n v="564.86"/>
    <x v="59"/>
    <x v="0"/>
    <x v="0"/>
    <x v="63"/>
    <x v="5"/>
    <x v="3"/>
    <x v="1"/>
    <n v="564.86"/>
  </r>
  <r>
    <s v="ORD200064"/>
    <x v="62"/>
    <x v="64"/>
    <x v="4"/>
    <x v="4"/>
    <n v="130.61000000000001"/>
    <x v="60"/>
    <x v="0"/>
    <x v="1"/>
    <x v="64"/>
    <x v="4"/>
    <x v="1"/>
    <x v="3"/>
    <n v="391.83"/>
  </r>
  <r>
    <s v="ORD200065"/>
    <x v="63"/>
    <x v="65"/>
    <x v="0"/>
    <x v="0"/>
    <n v="81.7"/>
    <x v="61"/>
    <x v="2"/>
    <x v="3"/>
    <x v="65"/>
    <x v="5"/>
    <x v="2"/>
    <x v="0"/>
    <n v="408.5"/>
  </r>
  <r>
    <s v="ORD200066"/>
    <x v="64"/>
    <x v="66"/>
    <x v="3"/>
    <x v="0"/>
    <n v="127.18"/>
    <x v="62"/>
    <x v="4"/>
    <x v="1"/>
    <x v="66"/>
    <x v="6"/>
    <x v="0"/>
    <x v="1"/>
    <n v="635.90000000000009"/>
  </r>
  <r>
    <s v="ORD200067"/>
    <x v="65"/>
    <x v="67"/>
    <x v="4"/>
    <x v="3"/>
    <n v="12.1"/>
    <x v="63"/>
    <x v="0"/>
    <x v="1"/>
    <x v="67"/>
    <x v="2"/>
    <x v="2"/>
    <x v="4"/>
    <n v="48.4"/>
  </r>
  <r>
    <s v="ORD200068"/>
    <x v="66"/>
    <x v="68"/>
    <x v="3"/>
    <x v="4"/>
    <n v="490.92"/>
    <x v="25"/>
    <x v="2"/>
    <x v="4"/>
    <x v="68"/>
    <x v="3"/>
    <x v="1"/>
    <x v="2"/>
    <n v="1472.76"/>
  </r>
  <r>
    <s v="ORD200069"/>
    <x v="67"/>
    <x v="69"/>
    <x v="0"/>
    <x v="4"/>
    <n v="478.65"/>
    <x v="64"/>
    <x v="1"/>
    <x v="0"/>
    <x v="69"/>
    <x v="4"/>
    <x v="2"/>
    <x v="1"/>
    <n v="1435.95"/>
  </r>
  <r>
    <s v="ORD200070"/>
    <x v="68"/>
    <x v="70"/>
    <x v="6"/>
    <x v="2"/>
    <n v="629.21"/>
    <x v="65"/>
    <x v="3"/>
    <x v="4"/>
    <x v="70"/>
    <x v="7"/>
    <x v="1"/>
    <x v="0"/>
    <n v="629.21"/>
  </r>
  <r>
    <s v="ORD200071"/>
    <x v="69"/>
    <x v="71"/>
    <x v="0"/>
    <x v="4"/>
    <n v="434.45"/>
    <x v="66"/>
    <x v="2"/>
    <x v="4"/>
    <x v="71"/>
    <x v="4"/>
    <x v="2"/>
    <x v="1"/>
    <n v="1303.3499999999999"/>
  </r>
  <r>
    <s v="ORD200072"/>
    <x v="70"/>
    <x v="72"/>
    <x v="2"/>
    <x v="3"/>
    <n v="589.44000000000005"/>
    <x v="15"/>
    <x v="3"/>
    <x v="2"/>
    <x v="72"/>
    <x v="3"/>
    <x v="2"/>
    <x v="3"/>
    <n v="2357.7600000000002"/>
  </r>
  <r>
    <s v="ORD200073"/>
    <x v="71"/>
    <x v="73"/>
    <x v="0"/>
    <x v="3"/>
    <n v="433.45"/>
    <x v="67"/>
    <x v="3"/>
    <x v="1"/>
    <x v="73"/>
    <x v="4"/>
    <x v="2"/>
    <x v="3"/>
    <n v="1733.8"/>
  </r>
  <r>
    <s v="ORD200074"/>
    <x v="72"/>
    <x v="74"/>
    <x v="1"/>
    <x v="0"/>
    <n v="90.87"/>
    <x v="68"/>
    <x v="4"/>
    <x v="4"/>
    <x v="74"/>
    <x v="3"/>
    <x v="2"/>
    <x v="0"/>
    <n v="454.35"/>
  </r>
  <r>
    <s v="ORD200075"/>
    <x v="73"/>
    <x v="75"/>
    <x v="2"/>
    <x v="4"/>
    <n v="398.17"/>
    <x v="69"/>
    <x v="0"/>
    <x v="3"/>
    <x v="75"/>
    <x v="3"/>
    <x v="0"/>
    <x v="2"/>
    <n v="1194.51"/>
  </r>
  <r>
    <s v="ORD200076"/>
    <x v="74"/>
    <x v="76"/>
    <x v="5"/>
    <x v="3"/>
    <n v="382.88"/>
    <x v="70"/>
    <x v="4"/>
    <x v="1"/>
    <x v="76"/>
    <x v="5"/>
    <x v="3"/>
    <x v="2"/>
    <n v="1531.52"/>
  </r>
  <r>
    <s v="ORD200077"/>
    <x v="75"/>
    <x v="77"/>
    <x v="1"/>
    <x v="2"/>
    <n v="583.17999999999995"/>
    <x v="71"/>
    <x v="2"/>
    <x v="2"/>
    <x v="77"/>
    <x v="3"/>
    <x v="2"/>
    <x v="4"/>
    <n v="583.17999999999995"/>
  </r>
  <r>
    <s v="ORD200078"/>
    <x v="76"/>
    <x v="78"/>
    <x v="4"/>
    <x v="3"/>
    <n v="175.36"/>
    <x v="72"/>
    <x v="0"/>
    <x v="3"/>
    <x v="78"/>
    <x v="4"/>
    <x v="1"/>
    <x v="0"/>
    <n v="701.44"/>
  </r>
  <r>
    <s v="ORD200079"/>
    <x v="77"/>
    <x v="79"/>
    <x v="2"/>
    <x v="1"/>
    <n v="311.91000000000003"/>
    <x v="73"/>
    <x v="1"/>
    <x v="0"/>
    <x v="79"/>
    <x v="7"/>
    <x v="2"/>
    <x v="3"/>
    <n v="623.82000000000005"/>
  </r>
  <r>
    <s v="ORD200080"/>
    <x v="78"/>
    <x v="80"/>
    <x v="1"/>
    <x v="4"/>
    <n v="589.55999999999995"/>
    <x v="74"/>
    <x v="1"/>
    <x v="2"/>
    <x v="80"/>
    <x v="5"/>
    <x v="2"/>
    <x v="3"/>
    <n v="1768.68"/>
  </r>
  <r>
    <s v="ORD200081"/>
    <x v="79"/>
    <x v="81"/>
    <x v="0"/>
    <x v="1"/>
    <n v="394.3"/>
    <x v="75"/>
    <x v="4"/>
    <x v="0"/>
    <x v="81"/>
    <x v="5"/>
    <x v="1"/>
    <x v="2"/>
    <n v="788.6"/>
  </r>
  <r>
    <s v="ORD200082"/>
    <x v="80"/>
    <x v="82"/>
    <x v="2"/>
    <x v="3"/>
    <n v="565.20000000000005"/>
    <x v="76"/>
    <x v="0"/>
    <x v="0"/>
    <x v="82"/>
    <x v="6"/>
    <x v="0"/>
    <x v="4"/>
    <n v="2260.8000000000002"/>
  </r>
  <r>
    <s v="ORD200083"/>
    <x v="60"/>
    <x v="83"/>
    <x v="5"/>
    <x v="3"/>
    <n v="540.41"/>
    <x v="77"/>
    <x v="2"/>
    <x v="1"/>
    <x v="83"/>
    <x v="5"/>
    <x v="2"/>
    <x v="1"/>
    <n v="2161.64"/>
  </r>
  <r>
    <s v="ORD200084"/>
    <x v="81"/>
    <x v="84"/>
    <x v="0"/>
    <x v="1"/>
    <n v="165.49"/>
    <x v="78"/>
    <x v="1"/>
    <x v="0"/>
    <x v="84"/>
    <x v="4"/>
    <x v="3"/>
    <x v="0"/>
    <n v="330.98"/>
  </r>
  <r>
    <s v="ORD200085"/>
    <x v="82"/>
    <x v="85"/>
    <x v="2"/>
    <x v="4"/>
    <n v="146.72999999999999"/>
    <x v="79"/>
    <x v="4"/>
    <x v="3"/>
    <x v="85"/>
    <x v="2"/>
    <x v="1"/>
    <x v="2"/>
    <n v="440.18999999999988"/>
  </r>
  <r>
    <s v="ORD200086"/>
    <x v="83"/>
    <x v="86"/>
    <x v="4"/>
    <x v="0"/>
    <n v="643.03"/>
    <x v="80"/>
    <x v="1"/>
    <x v="1"/>
    <x v="86"/>
    <x v="3"/>
    <x v="1"/>
    <x v="1"/>
    <n v="3215.15"/>
  </r>
  <r>
    <s v="ORD200087"/>
    <x v="84"/>
    <x v="87"/>
    <x v="2"/>
    <x v="4"/>
    <n v="225.11"/>
    <x v="81"/>
    <x v="4"/>
    <x v="0"/>
    <x v="87"/>
    <x v="4"/>
    <x v="0"/>
    <x v="3"/>
    <n v="675.33"/>
  </r>
  <r>
    <s v="ORD200088"/>
    <x v="85"/>
    <x v="88"/>
    <x v="6"/>
    <x v="4"/>
    <n v="114.81"/>
    <x v="82"/>
    <x v="3"/>
    <x v="1"/>
    <x v="88"/>
    <x v="0"/>
    <x v="2"/>
    <x v="4"/>
    <n v="344.43"/>
  </r>
  <r>
    <s v="ORD200089"/>
    <x v="86"/>
    <x v="89"/>
    <x v="4"/>
    <x v="0"/>
    <n v="455.33"/>
    <x v="83"/>
    <x v="2"/>
    <x v="1"/>
    <x v="89"/>
    <x v="2"/>
    <x v="1"/>
    <x v="4"/>
    <n v="2276.65"/>
  </r>
  <r>
    <s v="ORD200090"/>
    <x v="87"/>
    <x v="90"/>
    <x v="3"/>
    <x v="3"/>
    <n v="182.08"/>
    <x v="84"/>
    <x v="3"/>
    <x v="3"/>
    <x v="90"/>
    <x v="4"/>
    <x v="0"/>
    <x v="2"/>
    <n v="728.32"/>
  </r>
  <r>
    <s v="ORD200091"/>
    <x v="88"/>
    <x v="91"/>
    <x v="5"/>
    <x v="0"/>
    <n v="492.75"/>
    <x v="85"/>
    <x v="4"/>
    <x v="0"/>
    <x v="91"/>
    <x v="5"/>
    <x v="3"/>
    <x v="1"/>
    <n v="2463.75"/>
  </r>
  <r>
    <s v="ORD200092"/>
    <x v="89"/>
    <x v="92"/>
    <x v="4"/>
    <x v="3"/>
    <n v="48.61"/>
    <x v="86"/>
    <x v="1"/>
    <x v="0"/>
    <x v="92"/>
    <x v="0"/>
    <x v="1"/>
    <x v="3"/>
    <n v="194.44"/>
  </r>
  <r>
    <s v="ORD200093"/>
    <x v="90"/>
    <x v="93"/>
    <x v="6"/>
    <x v="3"/>
    <n v="431.01"/>
    <x v="87"/>
    <x v="2"/>
    <x v="2"/>
    <x v="93"/>
    <x v="0"/>
    <x v="2"/>
    <x v="1"/>
    <n v="1724.04"/>
  </r>
  <r>
    <s v="ORD200094"/>
    <x v="91"/>
    <x v="94"/>
    <x v="3"/>
    <x v="2"/>
    <n v="531.17999999999995"/>
    <x v="88"/>
    <x v="3"/>
    <x v="2"/>
    <x v="94"/>
    <x v="5"/>
    <x v="3"/>
    <x v="0"/>
    <n v="531.17999999999995"/>
  </r>
  <r>
    <s v="ORD200095"/>
    <x v="92"/>
    <x v="95"/>
    <x v="4"/>
    <x v="3"/>
    <n v="117.51"/>
    <x v="89"/>
    <x v="0"/>
    <x v="2"/>
    <x v="95"/>
    <x v="0"/>
    <x v="2"/>
    <x v="1"/>
    <n v="470.04"/>
  </r>
  <r>
    <s v="ORD200096"/>
    <x v="93"/>
    <x v="96"/>
    <x v="1"/>
    <x v="1"/>
    <n v="232.83"/>
    <x v="73"/>
    <x v="3"/>
    <x v="3"/>
    <x v="96"/>
    <x v="0"/>
    <x v="2"/>
    <x v="0"/>
    <n v="465.66"/>
  </r>
  <r>
    <s v="ORD200097"/>
    <x v="94"/>
    <x v="97"/>
    <x v="2"/>
    <x v="0"/>
    <n v="619.52"/>
    <x v="90"/>
    <x v="0"/>
    <x v="4"/>
    <x v="97"/>
    <x v="6"/>
    <x v="2"/>
    <x v="2"/>
    <n v="3097.6"/>
  </r>
  <r>
    <s v="ORD200098"/>
    <x v="90"/>
    <x v="98"/>
    <x v="4"/>
    <x v="1"/>
    <n v="228.54"/>
    <x v="91"/>
    <x v="0"/>
    <x v="4"/>
    <x v="98"/>
    <x v="1"/>
    <x v="2"/>
    <x v="2"/>
    <n v="457.08"/>
  </r>
  <r>
    <s v="ORD200099"/>
    <x v="95"/>
    <x v="99"/>
    <x v="4"/>
    <x v="2"/>
    <n v="201.58"/>
    <x v="92"/>
    <x v="0"/>
    <x v="1"/>
    <x v="99"/>
    <x v="7"/>
    <x v="3"/>
    <x v="2"/>
    <n v="201.58"/>
  </r>
  <r>
    <s v="ORD200100"/>
    <x v="96"/>
    <x v="100"/>
    <x v="1"/>
    <x v="4"/>
    <n v="664.79"/>
    <x v="93"/>
    <x v="1"/>
    <x v="3"/>
    <x v="100"/>
    <x v="5"/>
    <x v="2"/>
    <x v="3"/>
    <n v="1994.37"/>
  </r>
  <r>
    <s v="ORD200101"/>
    <x v="97"/>
    <x v="101"/>
    <x v="4"/>
    <x v="2"/>
    <n v="381.02"/>
    <x v="94"/>
    <x v="4"/>
    <x v="0"/>
    <x v="101"/>
    <x v="5"/>
    <x v="2"/>
    <x v="4"/>
    <n v="381.02"/>
  </r>
  <r>
    <s v="ORD200102"/>
    <x v="98"/>
    <x v="102"/>
    <x v="5"/>
    <x v="1"/>
    <n v="70.34"/>
    <x v="95"/>
    <x v="3"/>
    <x v="1"/>
    <x v="102"/>
    <x v="1"/>
    <x v="1"/>
    <x v="2"/>
    <n v="140.68"/>
  </r>
  <r>
    <s v="ORD200103"/>
    <x v="99"/>
    <x v="103"/>
    <x v="1"/>
    <x v="3"/>
    <n v="218.43"/>
    <x v="96"/>
    <x v="2"/>
    <x v="1"/>
    <x v="103"/>
    <x v="6"/>
    <x v="0"/>
    <x v="2"/>
    <n v="873.72"/>
  </r>
  <r>
    <s v="ORD200104"/>
    <x v="100"/>
    <x v="104"/>
    <x v="1"/>
    <x v="2"/>
    <n v="582.04"/>
    <x v="97"/>
    <x v="3"/>
    <x v="3"/>
    <x v="104"/>
    <x v="9"/>
    <x v="1"/>
    <x v="2"/>
    <n v="582.04"/>
  </r>
  <r>
    <s v="ORD200105"/>
    <x v="101"/>
    <x v="105"/>
    <x v="4"/>
    <x v="4"/>
    <n v="185.4"/>
    <x v="98"/>
    <x v="3"/>
    <x v="1"/>
    <x v="105"/>
    <x v="0"/>
    <x v="2"/>
    <x v="3"/>
    <n v="556.20000000000005"/>
  </r>
  <r>
    <s v="ORD200106"/>
    <x v="102"/>
    <x v="106"/>
    <x v="6"/>
    <x v="4"/>
    <n v="465.05"/>
    <x v="99"/>
    <x v="2"/>
    <x v="1"/>
    <x v="106"/>
    <x v="1"/>
    <x v="0"/>
    <x v="2"/>
    <n v="1395.15"/>
  </r>
  <r>
    <s v="ORD200107"/>
    <x v="14"/>
    <x v="107"/>
    <x v="4"/>
    <x v="0"/>
    <n v="670.75"/>
    <x v="100"/>
    <x v="3"/>
    <x v="0"/>
    <x v="107"/>
    <x v="2"/>
    <x v="1"/>
    <x v="0"/>
    <n v="3353.75"/>
  </r>
  <r>
    <s v="ORD200108"/>
    <x v="103"/>
    <x v="108"/>
    <x v="5"/>
    <x v="0"/>
    <n v="48.38"/>
    <x v="101"/>
    <x v="3"/>
    <x v="3"/>
    <x v="108"/>
    <x v="6"/>
    <x v="3"/>
    <x v="2"/>
    <n v="241.9"/>
  </r>
  <r>
    <s v="ORD200109"/>
    <x v="104"/>
    <x v="109"/>
    <x v="6"/>
    <x v="4"/>
    <n v="592.87"/>
    <x v="102"/>
    <x v="3"/>
    <x v="0"/>
    <x v="109"/>
    <x v="1"/>
    <x v="1"/>
    <x v="1"/>
    <n v="1778.61"/>
  </r>
  <r>
    <s v="ORD200110"/>
    <x v="105"/>
    <x v="110"/>
    <x v="2"/>
    <x v="2"/>
    <n v="220.77"/>
    <x v="103"/>
    <x v="3"/>
    <x v="4"/>
    <x v="110"/>
    <x v="3"/>
    <x v="1"/>
    <x v="0"/>
    <n v="220.77"/>
  </r>
  <r>
    <s v="ORD200111"/>
    <x v="106"/>
    <x v="111"/>
    <x v="6"/>
    <x v="4"/>
    <n v="309.22000000000003"/>
    <x v="104"/>
    <x v="1"/>
    <x v="1"/>
    <x v="111"/>
    <x v="0"/>
    <x v="1"/>
    <x v="4"/>
    <n v="927.66000000000008"/>
  </r>
  <r>
    <s v="ORD200112"/>
    <x v="107"/>
    <x v="112"/>
    <x v="0"/>
    <x v="2"/>
    <n v="410.6"/>
    <x v="105"/>
    <x v="1"/>
    <x v="1"/>
    <x v="112"/>
    <x v="7"/>
    <x v="3"/>
    <x v="1"/>
    <n v="410.6"/>
  </r>
  <r>
    <s v="ORD200113"/>
    <x v="108"/>
    <x v="113"/>
    <x v="5"/>
    <x v="0"/>
    <n v="190.08"/>
    <x v="106"/>
    <x v="4"/>
    <x v="0"/>
    <x v="113"/>
    <x v="6"/>
    <x v="1"/>
    <x v="0"/>
    <n v="950.40000000000009"/>
  </r>
  <r>
    <s v="ORD200114"/>
    <x v="109"/>
    <x v="114"/>
    <x v="0"/>
    <x v="0"/>
    <n v="498.48"/>
    <x v="107"/>
    <x v="1"/>
    <x v="4"/>
    <x v="114"/>
    <x v="2"/>
    <x v="0"/>
    <x v="4"/>
    <n v="2492.4"/>
  </r>
  <r>
    <s v="ORD200115"/>
    <x v="110"/>
    <x v="115"/>
    <x v="1"/>
    <x v="0"/>
    <n v="374.99"/>
    <x v="108"/>
    <x v="1"/>
    <x v="0"/>
    <x v="115"/>
    <x v="6"/>
    <x v="0"/>
    <x v="3"/>
    <n v="1874.95"/>
  </r>
  <r>
    <s v="ORD200116"/>
    <x v="111"/>
    <x v="116"/>
    <x v="4"/>
    <x v="3"/>
    <n v="291.35000000000002"/>
    <x v="109"/>
    <x v="2"/>
    <x v="1"/>
    <x v="116"/>
    <x v="5"/>
    <x v="3"/>
    <x v="3"/>
    <n v="1165.4000000000001"/>
  </r>
  <r>
    <s v="ORD200117"/>
    <x v="98"/>
    <x v="117"/>
    <x v="2"/>
    <x v="2"/>
    <n v="535.5"/>
    <x v="110"/>
    <x v="3"/>
    <x v="1"/>
    <x v="117"/>
    <x v="3"/>
    <x v="3"/>
    <x v="1"/>
    <n v="535.5"/>
  </r>
  <r>
    <s v="ORD200118"/>
    <x v="112"/>
    <x v="118"/>
    <x v="4"/>
    <x v="0"/>
    <n v="502.71"/>
    <x v="111"/>
    <x v="3"/>
    <x v="0"/>
    <x v="118"/>
    <x v="0"/>
    <x v="1"/>
    <x v="4"/>
    <n v="2513.5500000000002"/>
  </r>
  <r>
    <s v="ORD200119"/>
    <x v="113"/>
    <x v="119"/>
    <x v="6"/>
    <x v="1"/>
    <n v="534.66999999999996"/>
    <x v="112"/>
    <x v="0"/>
    <x v="0"/>
    <x v="119"/>
    <x v="0"/>
    <x v="1"/>
    <x v="1"/>
    <n v="1069.3399999999999"/>
  </r>
  <r>
    <s v="ORD200120"/>
    <x v="114"/>
    <x v="120"/>
    <x v="2"/>
    <x v="3"/>
    <n v="629.34"/>
    <x v="6"/>
    <x v="4"/>
    <x v="1"/>
    <x v="120"/>
    <x v="4"/>
    <x v="3"/>
    <x v="0"/>
    <n v="2517.36"/>
  </r>
  <r>
    <s v="ORD200121"/>
    <x v="115"/>
    <x v="121"/>
    <x v="6"/>
    <x v="2"/>
    <n v="410.78"/>
    <x v="113"/>
    <x v="4"/>
    <x v="1"/>
    <x v="121"/>
    <x v="9"/>
    <x v="1"/>
    <x v="0"/>
    <n v="410.78"/>
  </r>
  <r>
    <s v="ORD200122"/>
    <x v="116"/>
    <x v="122"/>
    <x v="5"/>
    <x v="1"/>
    <n v="533.02"/>
    <x v="114"/>
    <x v="3"/>
    <x v="0"/>
    <x v="122"/>
    <x v="7"/>
    <x v="2"/>
    <x v="3"/>
    <n v="1066.04"/>
  </r>
  <r>
    <s v="ORD200123"/>
    <x v="117"/>
    <x v="123"/>
    <x v="6"/>
    <x v="4"/>
    <n v="278.04000000000002"/>
    <x v="115"/>
    <x v="1"/>
    <x v="3"/>
    <x v="123"/>
    <x v="3"/>
    <x v="2"/>
    <x v="0"/>
    <n v="834.12000000000012"/>
  </r>
  <r>
    <s v="ORD200124"/>
    <x v="118"/>
    <x v="124"/>
    <x v="4"/>
    <x v="3"/>
    <n v="283.79000000000002"/>
    <x v="116"/>
    <x v="1"/>
    <x v="4"/>
    <x v="124"/>
    <x v="2"/>
    <x v="2"/>
    <x v="4"/>
    <n v="1135.1600000000001"/>
  </r>
  <r>
    <s v="ORD200125"/>
    <x v="119"/>
    <x v="125"/>
    <x v="1"/>
    <x v="1"/>
    <n v="512.65"/>
    <x v="117"/>
    <x v="2"/>
    <x v="0"/>
    <x v="125"/>
    <x v="3"/>
    <x v="0"/>
    <x v="2"/>
    <n v="1025.3"/>
  </r>
  <r>
    <s v="ORD200126"/>
    <x v="120"/>
    <x v="126"/>
    <x v="6"/>
    <x v="3"/>
    <n v="275.5"/>
    <x v="118"/>
    <x v="3"/>
    <x v="0"/>
    <x v="126"/>
    <x v="2"/>
    <x v="1"/>
    <x v="4"/>
    <n v="1102"/>
  </r>
  <r>
    <s v="ORD200127"/>
    <x v="121"/>
    <x v="127"/>
    <x v="6"/>
    <x v="4"/>
    <n v="469.32"/>
    <x v="119"/>
    <x v="0"/>
    <x v="0"/>
    <x v="127"/>
    <x v="1"/>
    <x v="2"/>
    <x v="4"/>
    <n v="1407.96"/>
  </r>
  <r>
    <s v="ORD200128"/>
    <x v="96"/>
    <x v="128"/>
    <x v="2"/>
    <x v="3"/>
    <n v="21.07"/>
    <x v="120"/>
    <x v="3"/>
    <x v="3"/>
    <x v="128"/>
    <x v="4"/>
    <x v="1"/>
    <x v="4"/>
    <n v="84.28"/>
  </r>
  <r>
    <s v="ORD200129"/>
    <x v="122"/>
    <x v="129"/>
    <x v="5"/>
    <x v="3"/>
    <n v="263.93"/>
    <x v="121"/>
    <x v="0"/>
    <x v="0"/>
    <x v="129"/>
    <x v="4"/>
    <x v="1"/>
    <x v="3"/>
    <n v="1055.72"/>
  </r>
  <r>
    <s v="ORD200130"/>
    <x v="123"/>
    <x v="130"/>
    <x v="6"/>
    <x v="4"/>
    <n v="501.3"/>
    <x v="122"/>
    <x v="1"/>
    <x v="1"/>
    <x v="130"/>
    <x v="1"/>
    <x v="3"/>
    <x v="3"/>
    <n v="1503.9"/>
  </r>
  <r>
    <s v="ORD200131"/>
    <x v="124"/>
    <x v="131"/>
    <x v="2"/>
    <x v="2"/>
    <n v="84.8"/>
    <x v="123"/>
    <x v="3"/>
    <x v="4"/>
    <x v="131"/>
    <x v="3"/>
    <x v="2"/>
    <x v="0"/>
    <n v="84.8"/>
  </r>
  <r>
    <s v="ORD200132"/>
    <x v="125"/>
    <x v="132"/>
    <x v="2"/>
    <x v="3"/>
    <n v="450.75"/>
    <x v="124"/>
    <x v="2"/>
    <x v="0"/>
    <x v="132"/>
    <x v="5"/>
    <x v="3"/>
    <x v="2"/>
    <n v="1803"/>
  </r>
  <r>
    <s v="ORD200133"/>
    <x v="126"/>
    <x v="133"/>
    <x v="3"/>
    <x v="3"/>
    <n v="302.05"/>
    <x v="125"/>
    <x v="0"/>
    <x v="1"/>
    <x v="133"/>
    <x v="5"/>
    <x v="0"/>
    <x v="4"/>
    <n v="1208.2"/>
  </r>
  <r>
    <s v="ORD200134"/>
    <x v="127"/>
    <x v="134"/>
    <x v="5"/>
    <x v="1"/>
    <n v="199.7"/>
    <x v="124"/>
    <x v="4"/>
    <x v="4"/>
    <x v="134"/>
    <x v="4"/>
    <x v="2"/>
    <x v="2"/>
    <n v="399.4"/>
  </r>
  <r>
    <s v="ORD200135"/>
    <x v="128"/>
    <x v="135"/>
    <x v="4"/>
    <x v="1"/>
    <n v="68.81"/>
    <x v="126"/>
    <x v="3"/>
    <x v="0"/>
    <x v="135"/>
    <x v="3"/>
    <x v="0"/>
    <x v="1"/>
    <n v="137.62"/>
  </r>
  <r>
    <s v="ORD200136"/>
    <x v="129"/>
    <x v="136"/>
    <x v="5"/>
    <x v="2"/>
    <n v="44.35"/>
    <x v="127"/>
    <x v="3"/>
    <x v="1"/>
    <x v="136"/>
    <x v="9"/>
    <x v="0"/>
    <x v="0"/>
    <n v="44.35"/>
  </r>
  <r>
    <s v="ORD200137"/>
    <x v="130"/>
    <x v="137"/>
    <x v="0"/>
    <x v="1"/>
    <n v="250.98"/>
    <x v="128"/>
    <x v="2"/>
    <x v="3"/>
    <x v="137"/>
    <x v="3"/>
    <x v="2"/>
    <x v="4"/>
    <n v="501.96"/>
  </r>
  <r>
    <s v="ORD200138"/>
    <x v="131"/>
    <x v="138"/>
    <x v="2"/>
    <x v="2"/>
    <n v="298.06"/>
    <x v="129"/>
    <x v="0"/>
    <x v="4"/>
    <x v="138"/>
    <x v="1"/>
    <x v="3"/>
    <x v="4"/>
    <n v="298.06"/>
  </r>
  <r>
    <s v="ORD200139"/>
    <x v="132"/>
    <x v="139"/>
    <x v="1"/>
    <x v="2"/>
    <n v="583.9"/>
    <x v="130"/>
    <x v="4"/>
    <x v="2"/>
    <x v="139"/>
    <x v="9"/>
    <x v="2"/>
    <x v="2"/>
    <n v="583.9"/>
  </r>
  <r>
    <s v="ORD200140"/>
    <x v="133"/>
    <x v="140"/>
    <x v="3"/>
    <x v="4"/>
    <n v="528.14"/>
    <x v="103"/>
    <x v="1"/>
    <x v="3"/>
    <x v="140"/>
    <x v="1"/>
    <x v="1"/>
    <x v="2"/>
    <n v="1584.42"/>
  </r>
  <r>
    <s v="ORD200141"/>
    <x v="134"/>
    <x v="141"/>
    <x v="4"/>
    <x v="4"/>
    <n v="684.14"/>
    <x v="131"/>
    <x v="4"/>
    <x v="1"/>
    <x v="141"/>
    <x v="1"/>
    <x v="3"/>
    <x v="0"/>
    <n v="2052.42"/>
  </r>
  <r>
    <s v="ORD200142"/>
    <x v="135"/>
    <x v="142"/>
    <x v="6"/>
    <x v="0"/>
    <n v="272.77"/>
    <x v="132"/>
    <x v="4"/>
    <x v="4"/>
    <x v="142"/>
    <x v="0"/>
    <x v="3"/>
    <x v="2"/>
    <n v="1363.85"/>
  </r>
  <r>
    <s v="ORD200143"/>
    <x v="136"/>
    <x v="143"/>
    <x v="3"/>
    <x v="3"/>
    <n v="400.07"/>
    <x v="133"/>
    <x v="1"/>
    <x v="0"/>
    <x v="143"/>
    <x v="3"/>
    <x v="2"/>
    <x v="1"/>
    <n v="1600.28"/>
  </r>
  <r>
    <s v="ORD200144"/>
    <x v="128"/>
    <x v="144"/>
    <x v="6"/>
    <x v="0"/>
    <n v="219.78"/>
    <x v="30"/>
    <x v="2"/>
    <x v="4"/>
    <x v="144"/>
    <x v="2"/>
    <x v="2"/>
    <x v="3"/>
    <n v="1098.9000000000001"/>
  </r>
  <r>
    <s v="ORD200145"/>
    <x v="17"/>
    <x v="145"/>
    <x v="4"/>
    <x v="4"/>
    <n v="146.91"/>
    <x v="134"/>
    <x v="2"/>
    <x v="3"/>
    <x v="145"/>
    <x v="5"/>
    <x v="1"/>
    <x v="4"/>
    <n v="440.73"/>
  </r>
  <r>
    <s v="ORD200146"/>
    <x v="137"/>
    <x v="146"/>
    <x v="2"/>
    <x v="1"/>
    <n v="411.49"/>
    <x v="135"/>
    <x v="2"/>
    <x v="2"/>
    <x v="146"/>
    <x v="4"/>
    <x v="2"/>
    <x v="0"/>
    <n v="822.98"/>
  </r>
  <r>
    <s v="ORD200147"/>
    <x v="138"/>
    <x v="147"/>
    <x v="5"/>
    <x v="1"/>
    <n v="465.18"/>
    <x v="136"/>
    <x v="2"/>
    <x v="1"/>
    <x v="147"/>
    <x v="7"/>
    <x v="0"/>
    <x v="4"/>
    <n v="930.36"/>
  </r>
  <r>
    <s v="ORD200148"/>
    <x v="139"/>
    <x v="148"/>
    <x v="1"/>
    <x v="1"/>
    <n v="319.91000000000003"/>
    <x v="137"/>
    <x v="2"/>
    <x v="1"/>
    <x v="148"/>
    <x v="1"/>
    <x v="3"/>
    <x v="4"/>
    <n v="639.82000000000005"/>
  </r>
  <r>
    <s v="ORD200149"/>
    <x v="140"/>
    <x v="149"/>
    <x v="5"/>
    <x v="2"/>
    <n v="217.56"/>
    <x v="138"/>
    <x v="0"/>
    <x v="3"/>
    <x v="149"/>
    <x v="1"/>
    <x v="2"/>
    <x v="3"/>
    <n v="217.56"/>
  </r>
  <r>
    <s v="ORD200150"/>
    <x v="141"/>
    <x v="150"/>
    <x v="1"/>
    <x v="1"/>
    <n v="105.57"/>
    <x v="139"/>
    <x v="0"/>
    <x v="2"/>
    <x v="150"/>
    <x v="3"/>
    <x v="3"/>
    <x v="4"/>
    <n v="211.14"/>
  </r>
  <r>
    <s v="ORD200151"/>
    <x v="142"/>
    <x v="151"/>
    <x v="4"/>
    <x v="0"/>
    <n v="444.76"/>
    <x v="140"/>
    <x v="0"/>
    <x v="2"/>
    <x v="151"/>
    <x v="0"/>
    <x v="2"/>
    <x v="2"/>
    <n v="2223.8000000000002"/>
  </r>
  <r>
    <s v="ORD200152"/>
    <x v="143"/>
    <x v="152"/>
    <x v="3"/>
    <x v="1"/>
    <n v="399.04"/>
    <x v="141"/>
    <x v="4"/>
    <x v="1"/>
    <x v="152"/>
    <x v="1"/>
    <x v="1"/>
    <x v="1"/>
    <n v="798.08"/>
  </r>
  <r>
    <s v="ORD200153"/>
    <x v="144"/>
    <x v="153"/>
    <x v="3"/>
    <x v="3"/>
    <n v="534.48"/>
    <x v="142"/>
    <x v="1"/>
    <x v="2"/>
    <x v="153"/>
    <x v="6"/>
    <x v="3"/>
    <x v="0"/>
    <n v="2137.92"/>
  </r>
  <r>
    <s v="ORD200154"/>
    <x v="145"/>
    <x v="154"/>
    <x v="1"/>
    <x v="3"/>
    <n v="408.21"/>
    <x v="115"/>
    <x v="2"/>
    <x v="4"/>
    <x v="154"/>
    <x v="6"/>
    <x v="2"/>
    <x v="0"/>
    <n v="1632.84"/>
  </r>
  <r>
    <s v="ORD200155"/>
    <x v="146"/>
    <x v="155"/>
    <x v="1"/>
    <x v="2"/>
    <n v="424.4"/>
    <x v="47"/>
    <x v="1"/>
    <x v="0"/>
    <x v="155"/>
    <x v="5"/>
    <x v="3"/>
    <x v="1"/>
    <n v="424.4"/>
  </r>
  <r>
    <s v="ORD200156"/>
    <x v="147"/>
    <x v="156"/>
    <x v="3"/>
    <x v="1"/>
    <n v="269.83"/>
    <x v="143"/>
    <x v="1"/>
    <x v="3"/>
    <x v="156"/>
    <x v="4"/>
    <x v="0"/>
    <x v="2"/>
    <n v="539.66"/>
  </r>
  <r>
    <s v="ORD200157"/>
    <x v="148"/>
    <x v="157"/>
    <x v="0"/>
    <x v="1"/>
    <n v="564.58000000000004"/>
    <x v="125"/>
    <x v="1"/>
    <x v="2"/>
    <x v="157"/>
    <x v="4"/>
    <x v="3"/>
    <x v="3"/>
    <n v="1129.1600000000001"/>
  </r>
  <r>
    <s v="ORD200158"/>
    <x v="149"/>
    <x v="158"/>
    <x v="2"/>
    <x v="2"/>
    <n v="331.06"/>
    <x v="144"/>
    <x v="2"/>
    <x v="4"/>
    <x v="158"/>
    <x v="3"/>
    <x v="3"/>
    <x v="0"/>
    <n v="331.06"/>
  </r>
  <r>
    <s v="ORD200159"/>
    <x v="150"/>
    <x v="159"/>
    <x v="4"/>
    <x v="2"/>
    <n v="299.35000000000002"/>
    <x v="145"/>
    <x v="2"/>
    <x v="1"/>
    <x v="159"/>
    <x v="3"/>
    <x v="3"/>
    <x v="2"/>
    <n v="299.35000000000002"/>
  </r>
  <r>
    <s v="ORD200160"/>
    <x v="96"/>
    <x v="160"/>
    <x v="0"/>
    <x v="3"/>
    <n v="101.32"/>
    <x v="146"/>
    <x v="4"/>
    <x v="4"/>
    <x v="160"/>
    <x v="0"/>
    <x v="2"/>
    <x v="1"/>
    <n v="405.28"/>
  </r>
  <r>
    <s v="ORD200161"/>
    <x v="151"/>
    <x v="161"/>
    <x v="0"/>
    <x v="2"/>
    <n v="211.14"/>
    <x v="122"/>
    <x v="2"/>
    <x v="1"/>
    <x v="161"/>
    <x v="9"/>
    <x v="0"/>
    <x v="3"/>
    <n v="211.14"/>
  </r>
  <r>
    <s v="ORD200162"/>
    <x v="152"/>
    <x v="162"/>
    <x v="3"/>
    <x v="4"/>
    <n v="65.86"/>
    <x v="69"/>
    <x v="1"/>
    <x v="4"/>
    <x v="162"/>
    <x v="2"/>
    <x v="3"/>
    <x v="4"/>
    <n v="197.58"/>
  </r>
  <r>
    <s v="ORD200163"/>
    <x v="53"/>
    <x v="163"/>
    <x v="2"/>
    <x v="2"/>
    <n v="641.39"/>
    <x v="147"/>
    <x v="1"/>
    <x v="1"/>
    <x v="163"/>
    <x v="9"/>
    <x v="2"/>
    <x v="1"/>
    <n v="641.39"/>
  </r>
  <r>
    <s v="ORD200164"/>
    <x v="153"/>
    <x v="164"/>
    <x v="6"/>
    <x v="0"/>
    <n v="536.58000000000004"/>
    <x v="148"/>
    <x v="3"/>
    <x v="4"/>
    <x v="164"/>
    <x v="3"/>
    <x v="0"/>
    <x v="4"/>
    <n v="2682.9"/>
  </r>
  <r>
    <s v="ORD200165"/>
    <x v="154"/>
    <x v="165"/>
    <x v="0"/>
    <x v="1"/>
    <n v="500.29"/>
    <x v="149"/>
    <x v="1"/>
    <x v="2"/>
    <x v="165"/>
    <x v="0"/>
    <x v="3"/>
    <x v="4"/>
    <n v="1000.58"/>
  </r>
  <r>
    <s v="ORD200166"/>
    <x v="155"/>
    <x v="166"/>
    <x v="3"/>
    <x v="4"/>
    <n v="86.29"/>
    <x v="51"/>
    <x v="4"/>
    <x v="3"/>
    <x v="166"/>
    <x v="5"/>
    <x v="3"/>
    <x v="0"/>
    <n v="258.87"/>
  </r>
  <r>
    <s v="ORD200167"/>
    <x v="156"/>
    <x v="167"/>
    <x v="3"/>
    <x v="1"/>
    <n v="384.14"/>
    <x v="150"/>
    <x v="1"/>
    <x v="2"/>
    <x v="167"/>
    <x v="7"/>
    <x v="3"/>
    <x v="2"/>
    <n v="768.28"/>
  </r>
  <r>
    <s v="ORD200168"/>
    <x v="157"/>
    <x v="168"/>
    <x v="4"/>
    <x v="2"/>
    <n v="594.96"/>
    <x v="151"/>
    <x v="4"/>
    <x v="2"/>
    <x v="168"/>
    <x v="5"/>
    <x v="2"/>
    <x v="3"/>
    <n v="594.96"/>
  </r>
  <r>
    <s v="ORD200169"/>
    <x v="158"/>
    <x v="169"/>
    <x v="4"/>
    <x v="2"/>
    <n v="427.82"/>
    <x v="152"/>
    <x v="1"/>
    <x v="3"/>
    <x v="169"/>
    <x v="7"/>
    <x v="3"/>
    <x v="2"/>
    <n v="427.82"/>
  </r>
  <r>
    <s v="ORD200170"/>
    <x v="159"/>
    <x v="170"/>
    <x v="6"/>
    <x v="3"/>
    <n v="662.94"/>
    <x v="153"/>
    <x v="4"/>
    <x v="1"/>
    <x v="170"/>
    <x v="2"/>
    <x v="0"/>
    <x v="0"/>
    <n v="2651.76"/>
  </r>
  <r>
    <s v="ORD200171"/>
    <x v="160"/>
    <x v="171"/>
    <x v="2"/>
    <x v="1"/>
    <n v="148.22"/>
    <x v="154"/>
    <x v="2"/>
    <x v="3"/>
    <x v="171"/>
    <x v="0"/>
    <x v="3"/>
    <x v="0"/>
    <n v="296.44"/>
  </r>
  <r>
    <s v="ORD200172"/>
    <x v="161"/>
    <x v="172"/>
    <x v="4"/>
    <x v="2"/>
    <n v="254.12"/>
    <x v="119"/>
    <x v="1"/>
    <x v="3"/>
    <x v="172"/>
    <x v="9"/>
    <x v="3"/>
    <x v="2"/>
    <n v="254.12"/>
  </r>
  <r>
    <s v="ORD200173"/>
    <x v="59"/>
    <x v="173"/>
    <x v="1"/>
    <x v="4"/>
    <n v="664.46"/>
    <x v="155"/>
    <x v="1"/>
    <x v="3"/>
    <x v="173"/>
    <x v="4"/>
    <x v="1"/>
    <x v="4"/>
    <n v="1993.38"/>
  </r>
  <r>
    <s v="ORD200174"/>
    <x v="162"/>
    <x v="174"/>
    <x v="4"/>
    <x v="3"/>
    <n v="600.80999999999995"/>
    <x v="156"/>
    <x v="0"/>
    <x v="3"/>
    <x v="174"/>
    <x v="6"/>
    <x v="0"/>
    <x v="2"/>
    <n v="2403.2399999999998"/>
  </r>
  <r>
    <s v="ORD200175"/>
    <x v="163"/>
    <x v="175"/>
    <x v="3"/>
    <x v="0"/>
    <n v="68.34"/>
    <x v="157"/>
    <x v="0"/>
    <x v="4"/>
    <x v="175"/>
    <x v="5"/>
    <x v="3"/>
    <x v="1"/>
    <n v="341.7"/>
  </r>
  <r>
    <s v="ORD200176"/>
    <x v="164"/>
    <x v="176"/>
    <x v="2"/>
    <x v="3"/>
    <n v="430.83"/>
    <x v="158"/>
    <x v="3"/>
    <x v="4"/>
    <x v="176"/>
    <x v="2"/>
    <x v="3"/>
    <x v="1"/>
    <n v="1723.32"/>
  </r>
  <r>
    <s v="ORD200177"/>
    <x v="165"/>
    <x v="177"/>
    <x v="3"/>
    <x v="0"/>
    <n v="431.69"/>
    <x v="159"/>
    <x v="2"/>
    <x v="4"/>
    <x v="177"/>
    <x v="8"/>
    <x v="2"/>
    <x v="3"/>
    <n v="2158.4499999999998"/>
  </r>
  <r>
    <s v="ORD200178"/>
    <x v="166"/>
    <x v="178"/>
    <x v="3"/>
    <x v="3"/>
    <n v="512.05999999999995"/>
    <x v="160"/>
    <x v="1"/>
    <x v="3"/>
    <x v="178"/>
    <x v="3"/>
    <x v="0"/>
    <x v="4"/>
    <n v="2048.2399999999998"/>
  </r>
  <r>
    <s v="ORD200179"/>
    <x v="167"/>
    <x v="179"/>
    <x v="5"/>
    <x v="4"/>
    <n v="539.91"/>
    <x v="161"/>
    <x v="2"/>
    <x v="3"/>
    <x v="179"/>
    <x v="2"/>
    <x v="2"/>
    <x v="2"/>
    <n v="1619.73"/>
  </r>
  <r>
    <s v="ORD200180"/>
    <x v="168"/>
    <x v="180"/>
    <x v="2"/>
    <x v="0"/>
    <n v="316.07"/>
    <x v="162"/>
    <x v="4"/>
    <x v="2"/>
    <x v="180"/>
    <x v="8"/>
    <x v="2"/>
    <x v="4"/>
    <n v="1580.35"/>
  </r>
  <r>
    <s v="ORD200181"/>
    <x v="169"/>
    <x v="181"/>
    <x v="4"/>
    <x v="0"/>
    <n v="404.39"/>
    <x v="163"/>
    <x v="1"/>
    <x v="0"/>
    <x v="181"/>
    <x v="8"/>
    <x v="2"/>
    <x v="1"/>
    <n v="2021.95"/>
  </r>
  <r>
    <s v="ORD200182"/>
    <x v="170"/>
    <x v="182"/>
    <x v="6"/>
    <x v="2"/>
    <n v="600.54"/>
    <x v="164"/>
    <x v="0"/>
    <x v="4"/>
    <x v="182"/>
    <x v="4"/>
    <x v="3"/>
    <x v="4"/>
    <n v="600.54"/>
  </r>
  <r>
    <s v="ORD200183"/>
    <x v="171"/>
    <x v="183"/>
    <x v="0"/>
    <x v="0"/>
    <n v="186.28"/>
    <x v="165"/>
    <x v="0"/>
    <x v="3"/>
    <x v="183"/>
    <x v="2"/>
    <x v="0"/>
    <x v="2"/>
    <n v="931.4"/>
  </r>
  <r>
    <s v="ORD200184"/>
    <x v="172"/>
    <x v="184"/>
    <x v="2"/>
    <x v="3"/>
    <n v="214.54"/>
    <x v="166"/>
    <x v="3"/>
    <x v="1"/>
    <x v="184"/>
    <x v="0"/>
    <x v="2"/>
    <x v="1"/>
    <n v="858.16"/>
  </r>
  <r>
    <s v="ORD200185"/>
    <x v="61"/>
    <x v="185"/>
    <x v="5"/>
    <x v="2"/>
    <n v="210.7"/>
    <x v="167"/>
    <x v="1"/>
    <x v="0"/>
    <x v="185"/>
    <x v="7"/>
    <x v="3"/>
    <x v="1"/>
    <n v="210.7"/>
  </r>
  <r>
    <s v="ORD200186"/>
    <x v="173"/>
    <x v="186"/>
    <x v="1"/>
    <x v="1"/>
    <n v="133.55000000000001"/>
    <x v="168"/>
    <x v="4"/>
    <x v="4"/>
    <x v="186"/>
    <x v="0"/>
    <x v="1"/>
    <x v="3"/>
    <n v="267.10000000000002"/>
  </r>
  <r>
    <s v="ORD200187"/>
    <x v="174"/>
    <x v="187"/>
    <x v="3"/>
    <x v="2"/>
    <n v="590.87"/>
    <x v="169"/>
    <x v="3"/>
    <x v="2"/>
    <x v="187"/>
    <x v="5"/>
    <x v="1"/>
    <x v="1"/>
    <n v="590.87"/>
  </r>
  <r>
    <s v="ORD200188"/>
    <x v="175"/>
    <x v="188"/>
    <x v="3"/>
    <x v="1"/>
    <n v="363.91"/>
    <x v="170"/>
    <x v="3"/>
    <x v="0"/>
    <x v="188"/>
    <x v="7"/>
    <x v="1"/>
    <x v="1"/>
    <n v="727.82"/>
  </r>
  <r>
    <s v="ORD200189"/>
    <x v="176"/>
    <x v="189"/>
    <x v="4"/>
    <x v="0"/>
    <n v="429.45"/>
    <x v="171"/>
    <x v="3"/>
    <x v="1"/>
    <x v="189"/>
    <x v="3"/>
    <x v="3"/>
    <x v="2"/>
    <n v="2147.25"/>
  </r>
  <r>
    <s v="ORD200190"/>
    <x v="169"/>
    <x v="190"/>
    <x v="4"/>
    <x v="4"/>
    <n v="223.7"/>
    <x v="172"/>
    <x v="4"/>
    <x v="2"/>
    <x v="190"/>
    <x v="1"/>
    <x v="0"/>
    <x v="2"/>
    <n v="671.09999999999991"/>
  </r>
  <r>
    <s v="ORD200191"/>
    <x v="177"/>
    <x v="191"/>
    <x v="5"/>
    <x v="1"/>
    <n v="488.87"/>
    <x v="173"/>
    <x v="1"/>
    <x v="1"/>
    <x v="191"/>
    <x v="4"/>
    <x v="1"/>
    <x v="4"/>
    <n v="977.74"/>
  </r>
  <r>
    <s v="ORD200192"/>
    <x v="178"/>
    <x v="192"/>
    <x v="6"/>
    <x v="2"/>
    <n v="645.46"/>
    <x v="131"/>
    <x v="3"/>
    <x v="1"/>
    <x v="192"/>
    <x v="3"/>
    <x v="0"/>
    <x v="4"/>
    <n v="645.46"/>
  </r>
  <r>
    <s v="ORD200193"/>
    <x v="179"/>
    <x v="193"/>
    <x v="4"/>
    <x v="2"/>
    <n v="46.66"/>
    <x v="174"/>
    <x v="4"/>
    <x v="1"/>
    <x v="193"/>
    <x v="5"/>
    <x v="2"/>
    <x v="4"/>
    <n v="46.66"/>
  </r>
  <r>
    <s v="ORD200194"/>
    <x v="180"/>
    <x v="194"/>
    <x v="0"/>
    <x v="2"/>
    <n v="249.57"/>
    <x v="175"/>
    <x v="4"/>
    <x v="0"/>
    <x v="194"/>
    <x v="1"/>
    <x v="1"/>
    <x v="4"/>
    <n v="249.57"/>
  </r>
  <r>
    <s v="ORD200195"/>
    <x v="181"/>
    <x v="195"/>
    <x v="3"/>
    <x v="4"/>
    <n v="619.21"/>
    <x v="176"/>
    <x v="0"/>
    <x v="1"/>
    <x v="195"/>
    <x v="5"/>
    <x v="2"/>
    <x v="2"/>
    <n v="1857.63"/>
  </r>
  <r>
    <s v="ORD200196"/>
    <x v="182"/>
    <x v="196"/>
    <x v="6"/>
    <x v="3"/>
    <n v="217.13"/>
    <x v="177"/>
    <x v="4"/>
    <x v="3"/>
    <x v="196"/>
    <x v="2"/>
    <x v="3"/>
    <x v="2"/>
    <n v="868.52"/>
  </r>
  <r>
    <s v="ORD200197"/>
    <x v="183"/>
    <x v="197"/>
    <x v="5"/>
    <x v="0"/>
    <n v="221.51"/>
    <x v="178"/>
    <x v="4"/>
    <x v="2"/>
    <x v="197"/>
    <x v="3"/>
    <x v="3"/>
    <x v="1"/>
    <n v="1107.55"/>
  </r>
  <r>
    <s v="ORD200198"/>
    <x v="184"/>
    <x v="198"/>
    <x v="5"/>
    <x v="3"/>
    <n v="340.3"/>
    <x v="34"/>
    <x v="4"/>
    <x v="1"/>
    <x v="198"/>
    <x v="2"/>
    <x v="0"/>
    <x v="1"/>
    <n v="1361.2"/>
  </r>
  <r>
    <s v="ORD200199"/>
    <x v="185"/>
    <x v="199"/>
    <x v="1"/>
    <x v="2"/>
    <n v="625"/>
    <x v="179"/>
    <x v="1"/>
    <x v="2"/>
    <x v="199"/>
    <x v="3"/>
    <x v="3"/>
    <x v="4"/>
    <n v="625"/>
  </r>
  <r>
    <s v="ORD200200"/>
    <x v="186"/>
    <x v="200"/>
    <x v="2"/>
    <x v="0"/>
    <n v="433.26"/>
    <x v="30"/>
    <x v="2"/>
    <x v="3"/>
    <x v="200"/>
    <x v="6"/>
    <x v="0"/>
    <x v="4"/>
    <n v="2166.3000000000002"/>
  </r>
  <r>
    <s v="ORD200201"/>
    <x v="187"/>
    <x v="201"/>
    <x v="0"/>
    <x v="1"/>
    <n v="674.9"/>
    <x v="72"/>
    <x v="1"/>
    <x v="0"/>
    <x v="201"/>
    <x v="4"/>
    <x v="0"/>
    <x v="3"/>
    <n v="1349.8"/>
  </r>
  <r>
    <s v="ORD200202"/>
    <x v="188"/>
    <x v="202"/>
    <x v="0"/>
    <x v="4"/>
    <n v="253.98"/>
    <x v="125"/>
    <x v="2"/>
    <x v="1"/>
    <x v="202"/>
    <x v="1"/>
    <x v="1"/>
    <x v="2"/>
    <n v="761.93999999999994"/>
  </r>
  <r>
    <s v="ORD200203"/>
    <x v="94"/>
    <x v="203"/>
    <x v="4"/>
    <x v="4"/>
    <n v="356.84"/>
    <x v="180"/>
    <x v="1"/>
    <x v="0"/>
    <x v="203"/>
    <x v="3"/>
    <x v="0"/>
    <x v="0"/>
    <n v="1070.52"/>
  </r>
  <r>
    <s v="ORD200204"/>
    <x v="189"/>
    <x v="204"/>
    <x v="5"/>
    <x v="3"/>
    <n v="413.71"/>
    <x v="129"/>
    <x v="3"/>
    <x v="1"/>
    <x v="204"/>
    <x v="6"/>
    <x v="1"/>
    <x v="3"/>
    <n v="1654.84"/>
  </r>
  <r>
    <s v="ORD200205"/>
    <x v="190"/>
    <x v="205"/>
    <x v="6"/>
    <x v="4"/>
    <n v="147.38999999999999"/>
    <x v="181"/>
    <x v="0"/>
    <x v="2"/>
    <x v="205"/>
    <x v="1"/>
    <x v="2"/>
    <x v="2"/>
    <n v="442.17"/>
  </r>
  <r>
    <s v="ORD200206"/>
    <x v="162"/>
    <x v="206"/>
    <x v="5"/>
    <x v="3"/>
    <n v="229.1"/>
    <x v="182"/>
    <x v="3"/>
    <x v="2"/>
    <x v="206"/>
    <x v="2"/>
    <x v="3"/>
    <x v="2"/>
    <n v="916.4"/>
  </r>
  <r>
    <s v="ORD200207"/>
    <x v="191"/>
    <x v="207"/>
    <x v="1"/>
    <x v="2"/>
    <n v="121.96"/>
    <x v="183"/>
    <x v="0"/>
    <x v="3"/>
    <x v="207"/>
    <x v="1"/>
    <x v="2"/>
    <x v="4"/>
    <n v="121.96"/>
  </r>
  <r>
    <s v="ORD200208"/>
    <x v="192"/>
    <x v="208"/>
    <x v="6"/>
    <x v="1"/>
    <n v="408.32"/>
    <x v="171"/>
    <x v="1"/>
    <x v="0"/>
    <x v="208"/>
    <x v="1"/>
    <x v="1"/>
    <x v="3"/>
    <n v="816.64"/>
  </r>
  <r>
    <s v="ORD200209"/>
    <x v="193"/>
    <x v="209"/>
    <x v="2"/>
    <x v="0"/>
    <n v="187.97"/>
    <x v="7"/>
    <x v="4"/>
    <x v="2"/>
    <x v="209"/>
    <x v="6"/>
    <x v="0"/>
    <x v="4"/>
    <n v="939.85"/>
  </r>
  <r>
    <s v="ORD200210"/>
    <x v="194"/>
    <x v="210"/>
    <x v="3"/>
    <x v="4"/>
    <n v="358.48"/>
    <x v="122"/>
    <x v="3"/>
    <x v="3"/>
    <x v="210"/>
    <x v="0"/>
    <x v="1"/>
    <x v="3"/>
    <n v="1075.44"/>
  </r>
  <r>
    <s v="ORD200211"/>
    <x v="195"/>
    <x v="211"/>
    <x v="4"/>
    <x v="4"/>
    <n v="193.58"/>
    <x v="184"/>
    <x v="3"/>
    <x v="4"/>
    <x v="211"/>
    <x v="0"/>
    <x v="1"/>
    <x v="2"/>
    <n v="580.74"/>
  </r>
  <r>
    <s v="ORD200212"/>
    <x v="196"/>
    <x v="212"/>
    <x v="0"/>
    <x v="2"/>
    <n v="265.38"/>
    <x v="185"/>
    <x v="2"/>
    <x v="1"/>
    <x v="212"/>
    <x v="5"/>
    <x v="3"/>
    <x v="2"/>
    <n v="265.38"/>
  </r>
  <r>
    <s v="ORD200213"/>
    <x v="197"/>
    <x v="213"/>
    <x v="5"/>
    <x v="2"/>
    <n v="634.4"/>
    <x v="186"/>
    <x v="4"/>
    <x v="1"/>
    <x v="213"/>
    <x v="5"/>
    <x v="0"/>
    <x v="2"/>
    <n v="634.4"/>
  </r>
  <r>
    <s v="ORD200214"/>
    <x v="58"/>
    <x v="214"/>
    <x v="6"/>
    <x v="3"/>
    <n v="305.72000000000003"/>
    <x v="113"/>
    <x v="1"/>
    <x v="3"/>
    <x v="214"/>
    <x v="3"/>
    <x v="2"/>
    <x v="3"/>
    <n v="1222.8800000000001"/>
  </r>
  <r>
    <s v="ORD200215"/>
    <x v="121"/>
    <x v="215"/>
    <x v="4"/>
    <x v="2"/>
    <n v="303.60000000000002"/>
    <x v="187"/>
    <x v="4"/>
    <x v="0"/>
    <x v="215"/>
    <x v="3"/>
    <x v="1"/>
    <x v="3"/>
    <n v="303.60000000000002"/>
  </r>
  <r>
    <s v="ORD200216"/>
    <x v="198"/>
    <x v="216"/>
    <x v="0"/>
    <x v="3"/>
    <n v="496"/>
    <x v="55"/>
    <x v="1"/>
    <x v="1"/>
    <x v="216"/>
    <x v="2"/>
    <x v="3"/>
    <x v="4"/>
    <n v="1984"/>
  </r>
  <r>
    <s v="ORD200217"/>
    <x v="199"/>
    <x v="217"/>
    <x v="6"/>
    <x v="3"/>
    <n v="321.51"/>
    <x v="188"/>
    <x v="4"/>
    <x v="2"/>
    <x v="217"/>
    <x v="6"/>
    <x v="2"/>
    <x v="4"/>
    <n v="1286.04"/>
  </r>
  <r>
    <s v="ORD200218"/>
    <x v="200"/>
    <x v="218"/>
    <x v="2"/>
    <x v="4"/>
    <n v="112.46"/>
    <x v="189"/>
    <x v="3"/>
    <x v="0"/>
    <x v="218"/>
    <x v="5"/>
    <x v="0"/>
    <x v="0"/>
    <n v="337.38"/>
  </r>
  <r>
    <s v="ORD200219"/>
    <x v="201"/>
    <x v="219"/>
    <x v="5"/>
    <x v="0"/>
    <n v="61.97"/>
    <x v="190"/>
    <x v="4"/>
    <x v="3"/>
    <x v="219"/>
    <x v="5"/>
    <x v="0"/>
    <x v="2"/>
    <n v="309.85000000000002"/>
  </r>
  <r>
    <s v="ORD200220"/>
    <x v="202"/>
    <x v="220"/>
    <x v="5"/>
    <x v="1"/>
    <n v="373.17"/>
    <x v="191"/>
    <x v="2"/>
    <x v="4"/>
    <x v="220"/>
    <x v="5"/>
    <x v="0"/>
    <x v="1"/>
    <n v="746.34"/>
  </r>
  <r>
    <s v="ORD200221"/>
    <x v="203"/>
    <x v="221"/>
    <x v="2"/>
    <x v="0"/>
    <n v="639.37"/>
    <x v="64"/>
    <x v="0"/>
    <x v="4"/>
    <x v="221"/>
    <x v="5"/>
    <x v="0"/>
    <x v="4"/>
    <n v="3196.85"/>
  </r>
  <r>
    <s v="ORD200222"/>
    <x v="204"/>
    <x v="222"/>
    <x v="3"/>
    <x v="3"/>
    <n v="693.36"/>
    <x v="192"/>
    <x v="1"/>
    <x v="0"/>
    <x v="222"/>
    <x v="2"/>
    <x v="2"/>
    <x v="0"/>
    <n v="2773.44"/>
  </r>
  <r>
    <s v="ORD200223"/>
    <x v="57"/>
    <x v="223"/>
    <x v="1"/>
    <x v="3"/>
    <n v="692.91"/>
    <x v="113"/>
    <x v="2"/>
    <x v="4"/>
    <x v="223"/>
    <x v="6"/>
    <x v="0"/>
    <x v="0"/>
    <n v="2771.64"/>
  </r>
  <r>
    <s v="ORD200224"/>
    <x v="205"/>
    <x v="224"/>
    <x v="4"/>
    <x v="3"/>
    <n v="91.46"/>
    <x v="193"/>
    <x v="4"/>
    <x v="1"/>
    <x v="224"/>
    <x v="6"/>
    <x v="0"/>
    <x v="1"/>
    <n v="365.84"/>
  </r>
  <r>
    <s v="ORD200225"/>
    <x v="206"/>
    <x v="225"/>
    <x v="1"/>
    <x v="4"/>
    <n v="273.95999999999998"/>
    <x v="194"/>
    <x v="0"/>
    <x v="2"/>
    <x v="225"/>
    <x v="2"/>
    <x v="0"/>
    <x v="4"/>
    <n v="821.87999999999988"/>
  </r>
  <r>
    <s v="ORD200226"/>
    <x v="207"/>
    <x v="226"/>
    <x v="6"/>
    <x v="4"/>
    <n v="588.04999999999995"/>
    <x v="195"/>
    <x v="3"/>
    <x v="3"/>
    <x v="226"/>
    <x v="2"/>
    <x v="2"/>
    <x v="0"/>
    <n v="1764.15"/>
  </r>
  <r>
    <s v="ORD200227"/>
    <x v="208"/>
    <x v="227"/>
    <x v="0"/>
    <x v="1"/>
    <n v="365.17"/>
    <x v="118"/>
    <x v="1"/>
    <x v="1"/>
    <x v="227"/>
    <x v="4"/>
    <x v="1"/>
    <x v="3"/>
    <n v="730.34"/>
  </r>
  <r>
    <s v="ORD200228"/>
    <x v="209"/>
    <x v="228"/>
    <x v="3"/>
    <x v="3"/>
    <n v="385.92"/>
    <x v="196"/>
    <x v="2"/>
    <x v="1"/>
    <x v="228"/>
    <x v="2"/>
    <x v="2"/>
    <x v="0"/>
    <n v="1543.68"/>
  </r>
  <r>
    <s v="ORD200229"/>
    <x v="210"/>
    <x v="229"/>
    <x v="2"/>
    <x v="2"/>
    <n v="562.61"/>
    <x v="197"/>
    <x v="2"/>
    <x v="3"/>
    <x v="229"/>
    <x v="1"/>
    <x v="3"/>
    <x v="3"/>
    <n v="562.61"/>
  </r>
  <r>
    <s v="ORD200230"/>
    <x v="211"/>
    <x v="230"/>
    <x v="6"/>
    <x v="3"/>
    <n v="61.91"/>
    <x v="198"/>
    <x v="3"/>
    <x v="3"/>
    <x v="230"/>
    <x v="5"/>
    <x v="3"/>
    <x v="2"/>
    <n v="247.64"/>
  </r>
  <r>
    <s v="ORD200231"/>
    <x v="212"/>
    <x v="231"/>
    <x v="1"/>
    <x v="3"/>
    <n v="41.9"/>
    <x v="199"/>
    <x v="3"/>
    <x v="4"/>
    <x v="231"/>
    <x v="6"/>
    <x v="1"/>
    <x v="0"/>
    <n v="167.6"/>
  </r>
  <r>
    <s v="ORD200232"/>
    <x v="213"/>
    <x v="232"/>
    <x v="4"/>
    <x v="3"/>
    <n v="444.44"/>
    <x v="200"/>
    <x v="0"/>
    <x v="1"/>
    <x v="232"/>
    <x v="2"/>
    <x v="3"/>
    <x v="4"/>
    <n v="1777.76"/>
  </r>
  <r>
    <s v="ORD200233"/>
    <x v="214"/>
    <x v="233"/>
    <x v="1"/>
    <x v="4"/>
    <n v="311.33"/>
    <x v="72"/>
    <x v="4"/>
    <x v="1"/>
    <x v="233"/>
    <x v="1"/>
    <x v="3"/>
    <x v="0"/>
    <n v="933.99"/>
  </r>
  <r>
    <s v="ORD200234"/>
    <x v="130"/>
    <x v="234"/>
    <x v="4"/>
    <x v="3"/>
    <n v="236.41"/>
    <x v="201"/>
    <x v="0"/>
    <x v="4"/>
    <x v="234"/>
    <x v="0"/>
    <x v="0"/>
    <x v="4"/>
    <n v="945.64"/>
  </r>
  <r>
    <s v="ORD200235"/>
    <x v="215"/>
    <x v="235"/>
    <x v="6"/>
    <x v="2"/>
    <n v="65.45"/>
    <x v="202"/>
    <x v="4"/>
    <x v="4"/>
    <x v="235"/>
    <x v="7"/>
    <x v="3"/>
    <x v="4"/>
    <n v="65.45"/>
  </r>
  <r>
    <s v="ORD200236"/>
    <x v="107"/>
    <x v="236"/>
    <x v="0"/>
    <x v="2"/>
    <n v="318.81"/>
    <x v="203"/>
    <x v="0"/>
    <x v="4"/>
    <x v="236"/>
    <x v="1"/>
    <x v="3"/>
    <x v="2"/>
    <n v="318.81"/>
  </r>
  <r>
    <s v="ORD200237"/>
    <x v="216"/>
    <x v="237"/>
    <x v="0"/>
    <x v="4"/>
    <n v="583.72"/>
    <x v="204"/>
    <x v="2"/>
    <x v="0"/>
    <x v="237"/>
    <x v="3"/>
    <x v="1"/>
    <x v="3"/>
    <n v="1751.16"/>
  </r>
  <r>
    <s v="ORD200238"/>
    <x v="217"/>
    <x v="238"/>
    <x v="6"/>
    <x v="3"/>
    <n v="384.32"/>
    <x v="205"/>
    <x v="2"/>
    <x v="4"/>
    <x v="238"/>
    <x v="5"/>
    <x v="3"/>
    <x v="4"/>
    <n v="1537.28"/>
  </r>
  <r>
    <s v="ORD200239"/>
    <x v="218"/>
    <x v="239"/>
    <x v="2"/>
    <x v="4"/>
    <n v="538.74"/>
    <x v="206"/>
    <x v="1"/>
    <x v="0"/>
    <x v="239"/>
    <x v="5"/>
    <x v="1"/>
    <x v="2"/>
    <n v="1616.22"/>
  </r>
  <r>
    <s v="ORD200240"/>
    <x v="219"/>
    <x v="240"/>
    <x v="2"/>
    <x v="2"/>
    <n v="17.239999999999998"/>
    <x v="207"/>
    <x v="1"/>
    <x v="4"/>
    <x v="240"/>
    <x v="7"/>
    <x v="1"/>
    <x v="0"/>
    <n v="17.239999999999998"/>
  </r>
  <r>
    <s v="ORD200241"/>
    <x v="220"/>
    <x v="241"/>
    <x v="3"/>
    <x v="0"/>
    <n v="615.66999999999996"/>
    <x v="208"/>
    <x v="1"/>
    <x v="4"/>
    <x v="241"/>
    <x v="5"/>
    <x v="0"/>
    <x v="2"/>
    <n v="3078.35"/>
  </r>
  <r>
    <s v="ORD200242"/>
    <x v="221"/>
    <x v="242"/>
    <x v="4"/>
    <x v="1"/>
    <n v="219.1"/>
    <x v="209"/>
    <x v="1"/>
    <x v="4"/>
    <x v="242"/>
    <x v="4"/>
    <x v="0"/>
    <x v="1"/>
    <n v="438.2"/>
  </r>
  <r>
    <s v="ORD200243"/>
    <x v="222"/>
    <x v="243"/>
    <x v="3"/>
    <x v="1"/>
    <n v="144.66"/>
    <x v="210"/>
    <x v="1"/>
    <x v="1"/>
    <x v="243"/>
    <x v="0"/>
    <x v="1"/>
    <x v="4"/>
    <n v="289.32"/>
  </r>
  <r>
    <s v="ORD200244"/>
    <x v="223"/>
    <x v="244"/>
    <x v="6"/>
    <x v="1"/>
    <n v="317.77"/>
    <x v="211"/>
    <x v="0"/>
    <x v="1"/>
    <x v="244"/>
    <x v="4"/>
    <x v="3"/>
    <x v="3"/>
    <n v="635.54"/>
  </r>
  <r>
    <s v="ORD200245"/>
    <x v="224"/>
    <x v="245"/>
    <x v="5"/>
    <x v="2"/>
    <n v="223.3"/>
    <x v="212"/>
    <x v="1"/>
    <x v="2"/>
    <x v="245"/>
    <x v="9"/>
    <x v="2"/>
    <x v="3"/>
    <n v="223.3"/>
  </r>
  <r>
    <s v="ORD200246"/>
    <x v="225"/>
    <x v="246"/>
    <x v="6"/>
    <x v="1"/>
    <n v="342.11"/>
    <x v="213"/>
    <x v="3"/>
    <x v="0"/>
    <x v="246"/>
    <x v="7"/>
    <x v="3"/>
    <x v="0"/>
    <n v="684.22"/>
  </r>
  <r>
    <s v="ORD200247"/>
    <x v="145"/>
    <x v="247"/>
    <x v="4"/>
    <x v="1"/>
    <n v="220.9"/>
    <x v="214"/>
    <x v="3"/>
    <x v="0"/>
    <x v="247"/>
    <x v="4"/>
    <x v="2"/>
    <x v="2"/>
    <n v="441.8"/>
  </r>
  <r>
    <s v="ORD200248"/>
    <x v="226"/>
    <x v="248"/>
    <x v="5"/>
    <x v="2"/>
    <n v="670.54"/>
    <x v="215"/>
    <x v="4"/>
    <x v="0"/>
    <x v="248"/>
    <x v="5"/>
    <x v="1"/>
    <x v="1"/>
    <n v="670.54"/>
  </r>
  <r>
    <s v="ORD200249"/>
    <x v="227"/>
    <x v="249"/>
    <x v="4"/>
    <x v="2"/>
    <n v="546.19000000000005"/>
    <x v="216"/>
    <x v="4"/>
    <x v="4"/>
    <x v="249"/>
    <x v="3"/>
    <x v="1"/>
    <x v="1"/>
    <n v="546.19000000000005"/>
  </r>
  <r>
    <s v="ORD200250"/>
    <x v="228"/>
    <x v="250"/>
    <x v="6"/>
    <x v="4"/>
    <n v="42.95"/>
    <x v="82"/>
    <x v="3"/>
    <x v="2"/>
    <x v="250"/>
    <x v="2"/>
    <x v="0"/>
    <x v="2"/>
    <n v="128.85"/>
  </r>
  <r>
    <s v="ORD200251"/>
    <x v="229"/>
    <x v="251"/>
    <x v="0"/>
    <x v="3"/>
    <n v="14.69"/>
    <x v="217"/>
    <x v="4"/>
    <x v="1"/>
    <x v="251"/>
    <x v="6"/>
    <x v="2"/>
    <x v="2"/>
    <n v="58.76"/>
  </r>
  <r>
    <s v="ORD200252"/>
    <x v="28"/>
    <x v="252"/>
    <x v="1"/>
    <x v="3"/>
    <n v="668.36"/>
    <x v="218"/>
    <x v="3"/>
    <x v="1"/>
    <x v="252"/>
    <x v="3"/>
    <x v="1"/>
    <x v="3"/>
    <n v="2673.44"/>
  </r>
  <r>
    <s v="ORD200253"/>
    <x v="230"/>
    <x v="253"/>
    <x v="3"/>
    <x v="3"/>
    <n v="413.74"/>
    <x v="93"/>
    <x v="3"/>
    <x v="2"/>
    <x v="253"/>
    <x v="0"/>
    <x v="1"/>
    <x v="0"/>
    <n v="1654.96"/>
  </r>
  <r>
    <s v="ORD200254"/>
    <x v="231"/>
    <x v="254"/>
    <x v="0"/>
    <x v="4"/>
    <n v="263.19"/>
    <x v="205"/>
    <x v="1"/>
    <x v="3"/>
    <x v="254"/>
    <x v="3"/>
    <x v="2"/>
    <x v="0"/>
    <n v="789.56999999999994"/>
  </r>
  <r>
    <s v="ORD200255"/>
    <x v="232"/>
    <x v="255"/>
    <x v="0"/>
    <x v="2"/>
    <n v="263.95999999999998"/>
    <x v="155"/>
    <x v="3"/>
    <x v="2"/>
    <x v="255"/>
    <x v="7"/>
    <x v="0"/>
    <x v="4"/>
    <n v="263.95999999999998"/>
  </r>
  <r>
    <s v="ORD200256"/>
    <x v="233"/>
    <x v="256"/>
    <x v="3"/>
    <x v="0"/>
    <n v="75.81"/>
    <x v="219"/>
    <x v="3"/>
    <x v="2"/>
    <x v="256"/>
    <x v="8"/>
    <x v="3"/>
    <x v="0"/>
    <n v="379.05"/>
  </r>
  <r>
    <s v="ORD200257"/>
    <x v="234"/>
    <x v="257"/>
    <x v="1"/>
    <x v="2"/>
    <n v="406.22"/>
    <x v="220"/>
    <x v="2"/>
    <x v="1"/>
    <x v="257"/>
    <x v="3"/>
    <x v="0"/>
    <x v="1"/>
    <n v="406.22"/>
  </r>
  <r>
    <s v="ORD200258"/>
    <x v="235"/>
    <x v="258"/>
    <x v="2"/>
    <x v="1"/>
    <n v="103.41"/>
    <x v="221"/>
    <x v="1"/>
    <x v="0"/>
    <x v="258"/>
    <x v="7"/>
    <x v="1"/>
    <x v="1"/>
    <n v="206.82"/>
  </r>
  <r>
    <s v="ORD200259"/>
    <x v="236"/>
    <x v="259"/>
    <x v="3"/>
    <x v="3"/>
    <n v="435.12"/>
    <x v="125"/>
    <x v="2"/>
    <x v="3"/>
    <x v="259"/>
    <x v="6"/>
    <x v="0"/>
    <x v="0"/>
    <n v="1740.48"/>
  </r>
  <r>
    <s v="ORD200260"/>
    <x v="209"/>
    <x v="260"/>
    <x v="0"/>
    <x v="1"/>
    <n v="407.79"/>
    <x v="222"/>
    <x v="0"/>
    <x v="0"/>
    <x v="260"/>
    <x v="1"/>
    <x v="2"/>
    <x v="4"/>
    <n v="815.58"/>
  </r>
  <r>
    <s v="ORD200261"/>
    <x v="237"/>
    <x v="261"/>
    <x v="1"/>
    <x v="0"/>
    <n v="173.65"/>
    <x v="223"/>
    <x v="3"/>
    <x v="3"/>
    <x v="261"/>
    <x v="6"/>
    <x v="0"/>
    <x v="2"/>
    <n v="868.25"/>
  </r>
  <r>
    <s v="ORD200262"/>
    <x v="238"/>
    <x v="262"/>
    <x v="1"/>
    <x v="3"/>
    <n v="249.07"/>
    <x v="126"/>
    <x v="2"/>
    <x v="2"/>
    <x v="262"/>
    <x v="3"/>
    <x v="3"/>
    <x v="1"/>
    <n v="996.28"/>
  </r>
  <r>
    <s v="ORD200263"/>
    <x v="239"/>
    <x v="263"/>
    <x v="1"/>
    <x v="3"/>
    <n v="434.85"/>
    <x v="224"/>
    <x v="2"/>
    <x v="4"/>
    <x v="263"/>
    <x v="4"/>
    <x v="3"/>
    <x v="4"/>
    <n v="1739.4"/>
  </r>
  <r>
    <s v="ORD200264"/>
    <x v="240"/>
    <x v="264"/>
    <x v="2"/>
    <x v="2"/>
    <n v="436.77"/>
    <x v="225"/>
    <x v="4"/>
    <x v="2"/>
    <x v="264"/>
    <x v="3"/>
    <x v="1"/>
    <x v="4"/>
    <n v="436.77"/>
  </r>
  <r>
    <s v="ORD200265"/>
    <x v="241"/>
    <x v="265"/>
    <x v="4"/>
    <x v="2"/>
    <n v="572.13"/>
    <x v="226"/>
    <x v="0"/>
    <x v="1"/>
    <x v="265"/>
    <x v="4"/>
    <x v="0"/>
    <x v="4"/>
    <n v="572.13"/>
  </r>
  <r>
    <s v="ORD200266"/>
    <x v="180"/>
    <x v="266"/>
    <x v="3"/>
    <x v="3"/>
    <n v="583.07000000000005"/>
    <x v="227"/>
    <x v="2"/>
    <x v="1"/>
    <x v="266"/>
    <x v="5"/>
    <x v="1"/>
    <x v="1"/>
    <n v="2332.2800000000002"/>
  </r>
  <r>
    <s v="ORD200267"/>
    <x v="242"/>
    <x v="267"/>
    <x v="3"/>
    <x v="0"/>
    <n v="468.51"/>
    <x v="228"/>
    <x v="0"/>
    <x v="3"/>
    <x v="267"/>
    <x v="6"/>
    <x v="2"/>
    <x v="3"/>
    <n v="2342.5500000000002"/>
  </r>
  <r>
    <s v="ORD200268"/>
    <x v="178"/>
    <x v="268"/>
    <x v="1"/>
    <x v="1"/>
    <n v="423.88"/>
    <x v="229"/>
    <x v="0"/>
    <x v="3"/>
    <x v="268"/>
    <x v="0"/>
    <x v="0"/>
    <x v="1"/>
    <n v="847.76"/>
  </r>
  <r>
    <s v="ORD200269"/>
    <x v="97"/>
    <x v="269"/>
    <x v="2"/>
    <x v="3"/>
    <n v="663.67"/>
    <x v="67"/>
    <x v="2"/>
    <x v="4"/>
    <x v="269"/>
    <x v="0"/>
    <x v="1"/>
    <x v="4"/>
    <n v="2654.68"/>
  </r>
  <r>
    <s v="ORD200270"/>
    <x v="243"/>
    <x v="270"/>
    <x v="4"/>
    <x v="3"/>
    <n v="309.91000000000003"/>
    <x v="230"/>
    <x v="0"/>
    <x v="0"/>
    <x v="270"/>
    <x v="3"/>
    <x v="3"/>
    <x v="4"/>
    <n v="1239.6400000000001"/>
  </r>
  <r>
    <s v="ORD200271"/>
    <x v="125"/>
    <x v="271"/>
    <x v="0"/>
    <x v="2"/>
    <n v="542.07000000000005"/>
    <x v="231"/>
    <x v="4"/>
    <x v="0"/>
    <x v="271"/>
    <x v="5"/>
    <x v="3"/>
    <x v="1"/>
    <n v="542.07000000000005"/>
  </r>
  <r>
    <s v="ORD200272"/>
    <x v="244"/>
    <x v="272"/>
    <x v="3"/>
    <x v="1"/>
    <n v="399.32"/>
    <x v="232"/>
    <x v="1"/>
    <x v="4"/>
    <x v="272"/>
    <x v="5"/>
    <x v="3"/>
    <x v="0"/>
    <n v="798.64"/>
  </r>
  <r>
    <s v="ORD200273"/>
    <x v="245"/>
    <x v="273"/>
    <x v="2"/>
    <x v="1"/>
    <n v="238.25"/>
    <x v="233"/>
    <x v="1"/>
    <x v="1"/>
    <x v="273"/>
    <x v="0"/>
    <x v="1"/>
    <x v="2"/>
    <n v="476.5"/>
  </r>
  <r>
    <s v="ORD200274"/>
    <x v="246"/>
    <x v="274"/>
    <x v="1"/>
    <x v="1"/>
    <n v="182.4"/>
    <x v="234"/>
    <x v="3"/>
    <x v="1"/>
    <x v="274"/>
    <x v="3"/>
    <x v="0"/>
    <x v="1"/>
    <n v="364.8"/>
  </r>
  <r>
    <s v="ORD200275"/>
    <x v="247"/>
    <x v="275"/>
    <x v="3"/>
    <x v="1"/>
    <n v="65.069999999999993"/>
    <x v="235"/>
    <x v="2"/>
    <x v="1"/>
    <x v="275"/>
    <x v="4"/>
    <x v="0"/>
    <x v="4"/>
    <n v="130.13999999999999"/>
  </r>
  <r>
    <s v="ORD200276"/>
    <x v="248"/>
    <x v="276"/>
    <x v="4"/>
    <x v="1"/>
    <n v="600.57000000000005"/>
    <x v="236"/>
    <x v="0"/>
    <x v="2"/>
    <x v="276"/>
    <x v="1"/>
    <x v="3"/>
    <x v="0"/>
    <n v="1201.1400000000001"/>
  </r>
  <r>
    <s v="ORD200277"/>
    <x v="82"/>
    <x v="277"/>
    <x v="3"/>
    <x v="0"/>
    <n v="90.92"/>
    <x v="237"/>
    <x v="2"/>
    <x v="3"/>
    <x v="277"/>
    <x v="6"/>
    <x v="0"/>
    <x v="3"/>
    <n v="454.6"/>
  </r>
  <r>
    <s v="ORD200278"/>
    <x v="249"/>
    <x v="278"/>
    <x v="5"/>
    <x v="0"/>
    <n v="362.46"/>
    <x v="238"/>
    <x v="4"/>
    <x v="3"/>
    <x v="278"/>
    <x v="5"/>
    <x v="1"/>
    <x v="0"/>
    <n v="1812.3"/>
  </r>
  <r>
    <s v="ORD200279"/>
    <x v="250"/>
    <x v="279"/>
    <x v="3"/>
    <x v="4"/>
    <n v="55.01"/>
    <x v="239"/>
    <x v="1"/>
    <x v="4"/>
    <x v="279"/>
    <x v="0"/>
    <x v="3"/>
    <x v="2"/>
    <n v="165.03"/>
  </r>
  <r>
    <s v="ORD200280"/>
    <x v="14"/>
    <x v="280"/>
    <x v="2"/>
    <x v="4"/>
    <n v="404.62"/>
    <x v="240"/>
    <x v="3"/>
    <x v="3"/>
    <x v="280"/>
    <x v="5"/>
    <x v="1"/>
    <x v="0"/>
    <n v="1213.8599999999999"/>
  </r>
  <r>
    <s v="ORD200281"/>
    <x v="152"/>
    <x v="281"/>
    <x v="6"/>
    <x v="3"/>
    <n v="654.79"/>
    <x v="241"/>
    <x v="4"/>
    <x v="4"/>
    <x v="281"/>
    <x v="6"/>
    <x v="2"/>
    <x v="1"/>
    <n v="2619.16"/>
  </r>
  <r>
    <s v="ORD200282"/>
    <x v="251"/>
    <x v="282"/>
    <x v="4"/>
    <x v="3"/>
    <n v="637.79"/>
    <x v="242"/>
    <x v="3"/>
    <x v="1"/>
    <x v="282"/>
    <x v="6"/>
    <x v="1"/>
    <x v="4"/>
    <n v="2551.16"/>
  </r>
  <r>
    <s v="ORD200283"/>
    <x v="252"/>
    <x v="283"/>
    <x v="5"/>
    <x v="3"/>
    <n v="540.33000000000004"/>
    <x v="243"/>
    <x v="4"/>
    <x v="0"/>
    <x v="283"/>
    <x v="5"/>
    <x v="2"/>
    <x v="4"/>
    <n v="2161.3200000000002"/>
  </r>
  <r>
    <s v="ORD200284"/>
    <x v="223"/>
    <x v="284"/>
    <x v="5"/>
    <x v="0"/>
    <n v="208.17"/>
    <x v="244"/>
    <x v="2"/>
    <x v="2"/>
    <x v="284"/>
    <x v="5"/>
    <x v="0"/>
    <x v="3"/>
    <n v="1040.8499999999999"/>
  </r>
  <r>
    <s v="ORD200285"/>
    <x v="69"/>
    <x v="285"/>
    <x v="1"/>
    <x v="2"/>
    <n v="338.31"/>
    <x v="233"/>
    <x v="1"/>
    <x v="3"/>
    <x v="285"/>
    <x v="1"/>
    <x v="2"/>
    <x v="4"/>
    <n v="338.31"/>
  </r>
  <r>
    <s v="ORD200286"/>
    <x v="253"/>
    <x v="286"/>
    <x v="0"/>
    <x v="4"/>
    <n v="139.44999999999999"/>
    <x v="112"/>
    <x v="3"/>
    <x v="2"/>
    <x v="286"/>
    <x v="2"/>
    <x v="3"/>
    <x v="4"/>
    <n v="418.35"/>
  </r>
  <r>
    <s v="ORD200287"/>
    <x v="254"/>
    <x v="287"/>
    <x v="3"/>
    <x v="3"/>
    <n v="655.17999999999995"/>
    <x v="245"/>
    <x v="1"/>
    <x v="0"/>
    <x v="287"/>
    <x v="3"/>
    <x v="2"/>
    <x v="3"/>
    <n v="2620.7199999999998"/>
  </r>
  <r>
    <s v="ORD200288"/>
    <x v="255"/>
    <x v="288"/>
    <x v="5"/>
    <x v="3"/>
    <n v="512.75"/>
    <x v="246"/>
    <x v="0"/>
    <x v="2"/>
    <x v="288"/>
    <x v="2"/>
    <x v="3"/>
    <x v="4"/>
    <n v="2051"/>
  </r>
  <r>
    <s v="ORD200289"/>
    <x v="256"/>
    <x v="289"/>
    <x v="3"/>
    <x v="3"/>
    <n v="160.49"/>
    <x v="10"/>
    <x v="2"/>
    <x v="0"/>
    <x v="289"/>
    <x v="2"/>
    <x v="3"/>
    <x v="1"/>
    <n v="641.96"/>
  </r>
  <r>
    <s v="ORD200290"/>
    <x v="257"/>
    <x v="290"/>
    <x v="3"/>
    <x v="4"/>
    <n v="99.9"/>
    <x v="165"/>
    <x v="4"/>
    <x v="3"/>
    <x v="290"/>
    <x v="2"/>
    <x v="1"/>
    <x v="3"/>
    <n v="299.7"/>
  </r>
  <r>
    <s v="ORD200291"/>
    <x v="258"/>
    <x v="291"/>
    <x v="1"/>
    <x v="1"/>
    <n v="345.01"/>
    <x v="247"/>
    <x v="2"/>
    <x v="3"/>
    <x v="291"/>
    <x v="5"/>
    <x v="1"/>
    <x v="4"/>
    <n v="690.02"/>
  </r>
  <r>
    <s v="ORD200292"/>
    <x v="259"/>
    <x v="292"/>
    <x v="0"/>
    <x v="2"/>
    <n v="65.95"/>
    <x v="184"/>
    <x v="2"/>
    <x v="3"/>
    <x v="292"/>
    <x v="3"/>
    <x v="2"/>
    <x v="3"/>
    <n v="65.95"/>
  </r>
  <r>
    <s v="ORD200293"/>
    <x v="223"/>
    <x v="293"/>
    <x v="2"/>
    <x v="3"/>
    <n v="463.04"/>
    <x v="248"/>
    <x v="3"/>
    <x v="2"/>
    <x v="293"/>
    <x v="6"/>
    <x v="2"/>
    <x v="0"/>
    <n v="1852.16"/>
  </r>
  <r>
    <s v="ORD200294"/>
    <x v="260"/>
    <x v="294"/>
    <x v="1"/>
    <x v="1"/>
    <n v="297.70999999999998"/>
    <x v="249"/>
    <x v="1"/>
    <x v="0"/>
    <x v="294"/>
    <x v="0"/>
    <x v="0"/>
    <x v="1"/>
    <n v="595.41999999999996"/>
  </r>
  <r>
    <s v="ORD200295"/>
    <x v="261"/>
    <x v="295"/>
    <x v="4"/>
    <x v="0"/>
    <n v="107.48"/>
    <x v="250"/>
    <x v="0"/>
    <x v="1"/>
    <x v="295"/>
    <x v="6"/>
    <x v="1"/>
    <x v="2"/>
    <n v="537.4"/>
  </r>
  <r>
    <s v="ORD200296"/>
    <x v="83"/>
    <x v="296"/>
    <x v="6"/>
    <x v="0"/>
    <n v="638.79999999999995"/>
    <x v="48"/>
    <x v="0"/>
    <x v="1"/>
    <x v="296"/>
    <x v="8"/>
    <x v="3"/>
    <x v="1"/>
    <n v="3194"/>
  </r>
  <r>
    <s v="ORD200297"/>
    <x v="262"/>
    <x v="297"/>
    <x v="6"/>
    <x v="1"/>
    <n v="493.88"/>
    <x v="251"/>
    <x v="2"/>
    <x v="2"/>
    <x v="297"/>
    <x v="0"/>
    <x v="0"/>
    <x v="0"/>
    <n v="987.76"/>
  </r>
  <r>
    <s v="ORD200298"/>
    <x v="263"/>
    <x v="298"/>
    <x v="4"/>
    <x v="3"/>
    <n v="301.17"/>
    <x v="40"/>
    <x v="1"/>
    <x v="1"/>
    <x v="298"/>
    <x v="5"/>
    <x v="2"/>
    <x v="2"/>
    <n v="1204.68"/>
  </r>
  <r>
    <s v="ORD200299"/>
    <x v="264"/>
    <x v="299"/>
    <x v="0"/>
    <x v="2"/>
    <n v="278.66000000000003"/>
    <x v="252"/>
    <x v="3"/>
    <x v="1"/>
    <x v="299"/>
    <x v="7"/>
    <x v="1"/>
    <x v="0"/>
    <n v="278.66000000000003"/>
  </r>
  <r>
    <s v="ORD200300"/>
    <x v="265"/>
    <x v="300"/>
    <x v="1"/>
    <x v="2"/>
    <n v="287.45999999999998"/>
    <x v="253"/>
    <x v="0"/>
    <x v="2"/>
    <x v="300"/>
    <x v="1"/>
    <x v="1"/>
    <x v="3"/>
    <n v="287.45999999999998"/>
  </r>
  <r>
    <s v="ORD200301"/>
    <x v="67"/>
    <x v="301"/>
    <x v="3"/>
    <x v="2"/>
    <n v="583.99"/>
    <x v="254"/>
    <x v="4"/>
    <x v="1"/>
    <x v="301"/>
    <x v="7"/>
    <x v="0"/>
    <x v="2"/>
    <n v="583.99"/>
  </r>
  <r>
    <s v="ORD200302"/>
    <x v="220"/>
    <x v="302"/>
    <x v="3"/>
    <x v="4"/>
    <n v="468.74"/>
    <x v="255"/>
    <x v="4"/>
    <x v="4"/>
    <x v="302"/>
    <x v="4"/>
    <x v="1"/>
    <x v="0"/>
    <n v="1406.22"/>
  </r>
  <r>
    <s v="ORD200303"/>
    <x v="34"/>
    <x v="303"/>
    <x v="2"/>
    <x v="2"/>
    <n v="30.54"/>
    <x v="256"/>
    <x v="0"/>
    <x v="2"/>
    <x v="303"/>
    <x v="9"/>
    <x v="2"/>
    <x v="4"/>
    <n v="30.54"/>
  </r>
  <r>
    <s v="ORD200304"/>
    <x v="266"/>
    <x v="304"/>
    <x v="0"/>
    <x v="0"/>
    <n v="408.73"/>
    <x v="257"/>
    <x v="3"/>
    <x v="3"/>
    <x v="304"/>
    <x v="8"/>
    <x v="1"/>
    <x v="0"/>
    <n v="2043.65"/>
  </r>
  <r>
    <s v="ORD200305"/>
    <x v="97"/>
    <x v="305"/>
    <x v="5"/>
    <x v="3"/>
    <n v="126.89"/>
    <x v="258"/>
    <x v="4"/>
    <x v="4"/>
    <x v="305"/>
    <x v="6"/>
    <x v="1"/>
    <x v="0"/>
    <n v="507.56"/>
  </r>
  <r>
    <s v="ORD200306"/>
    <x v="267"/>
    <x v="306"/>
    <x v="4"/>
    <x v="1"/>
    <n v="57.07"/>
    <x v="259"/>
    <x v="0"/>
    <x v="2"/>
    <x v="306"/>
    <x v="1"/>
    <x v="0"/>
    <x v="0"/>
    <n v="114.14"/>
  </r>
  <r>
    <s v="ORD200307"/>
    <x v="268"/>
    <x v="307"/>
    <x v="5"/>
    <x v="4"/>
    <n v="557.41"/>
    <x v="260"/>
    <x v="1"/>
    <x v="3"/>
    <x v="307"/>
    <x v="4"/>
    <x v="2"/>
    <x v="2"/>
    <n v="1672.23"/>
  </r>
  <r>
    <s v="ORD200308"/>
    <x v="66"/>
    <x v="308"/>
    <x v="4"/>
    <x v="4"/>
    <n v="448.9"/>
    <x v="156"/>
    <x v="0"/>
    <x v="2"/>
    <x v="308"/>
    <x v="0"/>
    <x v="0"/>
    <x v="0"/>
    <n v="1346.7"/>
  </r>
  <r>
    <s v="ORD200309"/>
    <x v="269"/>
    <x v="309"/>
    <x v="3"/>
    <x v="3"/>
    <n v="549.76"/>
    <x v="261"/>
    <x v="0"/>
    <x v="3"/>
    <x v="309"/>
    <x v="4"/>
    <x v="1"/>
    <x v="3"/>
    <n v="2199.04"/>
  </r>
  <r>
    <s v="ORD200310"/>
    <x v="270"/>
    <x v="310"/>
    <x v="4"/>
    <x v="4"/>
    <n v="132.47999999999999"/>
    <x v="262"/>
    <x v="1"/>
    <x v="0"/>
    <x v="310"/>
    <x v="4"/>
    <x v="2"/>
    <x v="1"/>
    <n v="397.43999999999988"/>
  </r>
  <r>
    <s v="ORD200311"/>
    <x v="271"/>
    <x v="311"/>
    <x v="6"/>
    <x v="0"/>
    <n v="489.37"/>
    <x v="263"/>
    <x v="1"/>
    <x v="2"/>
    <x v="311"/>
    <x v="2"/>
    <x v="2"/>
    <x v="0"/>
    <n v="2446.85"/>
  </r>
  <r>
    <s v="ORD200312"/>
    <x v="272"/>
    <x v="312"/>
    <x v="4"/>
    <x v="0"/>
    <n v="66.31"/>
    <x v="196"/>
    <x v="3"/>
    <x v="4"/>
    <x v="312"/>
    <x v="0"/>
    <x v="1"/>
    <x v="1"/>
    <n v="331.55"/>
  </r>
  <r>
    <s v="ORD200313"/>
    <x v="273"/>
    <x v="313"/>
    <x v="3"/>
    <x v="1"/>
    <n v="434.3"/>
    <x v="264"/>
    <x v="4"/>
    <x v="3"/>
    <x v="313"/>
    <x v="0"/>
    <x v="0"/>
    <x v="0"/>
    <n v="868.6"/>
  </r>
  <r>
    <s v="ORD200314"/>
    <x v="274"/>
    <x v="314"/>
    <x v="6"/>
    <x v="3"/>
    <n v="153.09"/>
    <x v="265"/>
    <x v="1"/>
    <x v="3"/>
    <x v="314"/>
    <x v="4"/>
    <x v="1"/>
    <x v="1"/>
    <n v="612.36"/>
  </r>
  <r>
    <s v="ORD200315"/>
    <x v="275"/>
    <x v="315"/>
    <x v="2"/>
    <x v="0"/>
    <n v="91.67"/>
    <x v="266"/>
    <x v="1"/>
    <x v="1"/>
    <x v="315"/>
    <x v="6"/>
    <x v="1"/>
    <x v="2"/>
    <n v="458.35"/>
  </r>
  <r>
    <s v="ORD200316"/>
    <x v="276"/>
    <x v="316"/>
    <x v="6"/>
    <x v="3"/>
    <n v="275.27999999999997"/>
    <x v="267"/>
    <x v="3"/>
    <x v="0"/>
    <x v="316"/>
    <x v="6"/>
    <x v="3"/>
    <x v="3"/>
    <n v="1101.1199999999999"/>
  </r>
  <r>
    <s v="ORD200317"/>
    <x v="132"/>
    <x v="317"/>
    <x v="0"/>
    <x v="1"/>
    <n v="139.94999999999999"/>
    <x v="268"/>
    <x v="1"/>
    <x v="2"/>
    <x v="317"/>
    <x v="3"/>
    <x v="2"/>
    <x v="0"/>
    <n v="279.89999999999998"/>
  </r>
  <r>
    <s v="ORD200318"/>
    <x v="277"/>
    <x v="318"/>
    <x v="3"/>
    <x v="4"/>
    <n v="148.72"/>
    <x v="186"/>
    <x v="0"/>
    <x v="1"/>
    <x v="318"/>
    <x v="0"/>
    <x v="0"/>
    <x v="4"/>
    <n v="446.16"/>
  </r>
  <r>
    <s v="ORD200319"/>
    <x v="278"/>
    <x v="319"/>
    <x v="5"/>
    <x v="1"/>
    <n v="563.05999999999995"/>
    <x v="269"/>
    <x v="4"/>
    <x v="2"/>
    <x v="319"/>
    <x v="5"/>
    <x v="2"/>
    <x v="0"/>
    <n v="1126.1199999999999"/>
  </r>
  <r>
    <s v="ORD200320"/>
    <x v="36"/>
    <x v="320"/>
    <x v="4"/>
    <x v="2"/>
    <n v="625.51"/>
    <x v="270"/>
    <x v="2"/>
    <x v="0"/>
    <x v="320"/>
    <x v="9"/>
    <x v="1"/>
    <x v="3"/>
    <n v="625.51"/>
  </r>
  <r>
    <s v="ORD200321"/>
    <x v="279"/>
    <x v="321"/>
    <x v="1"/>
    <x v="3"/>
    <n v="152.29"/>
    <x v="260"/>
    <x v="0"/>
    <x v="1"/>
    <x v="321"/>
    <x v="5"/>
    <x v="3"/>
    <x v="4"/>
    <n v="609.16"/>
  </r>
  <r>
    <s v="ORD200322"/>
    <x v="280"/>
    <x v="322"/>
    <x v="1"/>
    <x v="0"/>
    <n v="231.82"/>
    <x v="268"/>
    <x v="0"/>
    <x v="3"/>
    <x v="322"/>
    <x v="5"/>
    <x v="0"/>
    <x v="3"/>
    <n v="1159.0999999999999"/>
  </r>
  <r>
    <s v="ORD200323"/>
    <x v="281"/>
    <x v="323"/>
    <x v="5"/>
    <x v="2"/>
    <n v="150.16999999999999"/>
    <x v="271"/>
    <x v="0"/>
    <x v="2"/>
    <x v="323"/>
    <x v="9"/>
    <x v="0"/>
    <x v="1"/>
    <n v="150.16999999999999"/>
  </r>
  <r>
    <s v="ORD200324"/>
    <x v="136"/>
    <x v="324"/>
    <x v="2"/>
    <x v="4"/>
    <n v="70.930000000000007"/>
    <x v="272"/>
    <x v="0"/>
    <x v="2"/>
    <x v="324"/>
    <x v="3"/>
    <x v="2"/>
    <x v="1"/>
    <n v="212.79"/>
  </r>
  <r>
    <s v="ORD200325"/>
    <x v="282"/>
    <x v="325"/>
    <x v="6"/>
    <x v="4"/>
    <n v="361.39"/>
    <x v="273"/>
    <x v="2"/>
    <x v="0"/>
    <x v="325"/>
    <x v="2"/>
    <x v="2"/>
    <x v="1"/>
    <n v="1084.17"/>
  </r>
  <r>
    <s v="ORD200326"/>
    <x v="283"/>
    <x v="326"/>
    <x v="5"/>
    <x v="0"/>
    <n v="670.48"/>
    <x v="19"/>
    <x v="3"/>
    <x v="2"/>
    <x v="326"/>
    <x v="3"/>
    <x v="0"/>
    <x v="3"/>
    <n v="3352.4"/>
  </r>
  <r>
    <s v="ORD200327"/>
    <x v="284"/>
    <x v="327"/>
    <x v="1"/>
    <x v="2"/>
    <n v="359.99"/>
    <x v="61"/>
    <x v="3"/>
    <x v="1"/>
    <x v="327"/>
    <x v="3"/>
    <x v="0"/>
    <x v="2"/>
    <n v="359.99"/>
  </r>
  <r>
    <s v="ORD200328"/>
    <x v="285"/>
    <x v="328"/>
    <x v="2"/>
    <x v="0"/>
    <n v="674.04"/>
    <x v="274"/>
    <x v="1"/>
    <x v="1"/>
    <x v="328"/>
    <x v="0"/>
    <x v="0"/>
    <x v="4"/>
    <n v="3370.2"/>
  </r>
  <r>
    <s v="ORD200329"/>
    <x v="286"/>
    <x v="329"/>
    <x v="3"/>
    <x v="3"/>
    <n v="283.16000000000003"/>
    <x v="212"/>
    <x v="2"/>
    <x v="0"/>
    <x v="329"/>
    <x v="5"/>
    <x v="2"/>
    <x v="4"/>
    <n v="1132.6400000000001"/>
  </r>
  <r>
    <s v="ORD200330"/>
    <x v="287"/>
    <x v="330"/>
    <x v="6"/>
    <x v="0"/>
    <n v="260.52999999999997"/>
    <x v="275"/>
    <x v="3"/>
    <x v="4"/>
    <x v="330"/>
    <x v="3"/>
    <x v="0"/>
    <x v="0"/>
    <n v="1302.6500000000001"/>
  </r>
  <r>
    <s v="ORD200331"/>
    <x v="288"/>
    <x v="331"/>
    <x v="4"/>
    <x v="4"/>
    <n v="422.13"/>
    <x v="112"/>
    <x v="1"/>
    <x v="3"/>
    <x v="331"/>
    <x v="0"/>
    <x v="0"/>
    <x v="3"/>
    <n v="1266.3900000000001"/>
  </r>
  <r>
    <s v="ORD200332"/>
    <x v="289"/>
    <x v="332"/>
    <x v="6"/>
    <x v="0"/>
    <n v="125.02"/>
    <x v="276"/>
    <x v="0"/>
    <x v="4"/>
    <x v="332"/>
    <x v="6"/>
    <x v="0"/>
    <x v="4"/>
    <n v="625.1"/>
  </r>
  <r>
    <s v="ORD200333"/>
    <x v="162"/>
    <x v="333"/>
    <x v="1"/>
    <x v="2"/>
    <n v="198.51"/>
    <x v="277"/>
    <x v="2"/>
    <x v="2"/>
    <x v="333"/>
    <x v="3"/>
    <x v="3"/>
    <x v="0"/>
    <n v="198.51"/>
  </r>
  <r>
    <s v="ORD200334"/>
    <x v="290"/>
    <x v="334"/>
    <x v="3"/>
    <x v="3"/>
    <n v="224.75"/>
    <x v="278"/>
    <x v="1"/>
    <x v="3"/>
    <x v="334"/>
    <x v="0"/>
    <x v="3"/>
    <x v="3"/>
    <n v="899"/>
  </r>
  <r>
    <s v="ORD200335"/>
    <x v="291"/>
    <x v="335"/>
    <x v="2"/>
    <x v="4"/>
    <n v="205.86"/>
    <x v="264"/>
    <x v="3"/>
    <x v="0"/>
    <x v="335"/>
    <x v="4"/>
    <x v="2"/>
    <x v="2"/>
    <n v="617.58000000000004"/>
  </r>
  <r>
    <s v="ORD200336"/>
    <x v="10"/>
    <x v="336"/>
    <x v="5"/>
    <x v="2"/>
    <n v="18.2"/>
    <x v="279"/>
    <x v="0"/>
    <x v="4"/>
    <x v="336"/>
    <x v="4"/>
    <x v="0"/>
    <x v="0"/>
    <n v="18.2"/>
  </r>
  <r>
    <s v="ORD200337"/>
    <x v="292"/>
    <x v="337"/>
    <x v="2"/>
    <x v="4"/>
    <n v="502.77"/>
    <x v="280"/>
    <x v="0"/>
    <x v="2"/>
    <x v="337"/>
    <x v="2"/>
    <x v="3"/>
    <x v="2"/>
    <n v="1508.31"/>
  </r>
  <r>
    <s v="ORD200338"/>
    <x v="293"/>
    <x v="338"/>
    <x v="1"/>
    <x v="0"/>
    <n v="305.49"/>
    <x v="281"/>
    <x v="0"/>
    <x v="0"/>
    <x v="338"/>
    <x v="8"/>
    <x v="2"/>
    <x v="1"/>
    <n v="1527.45"/>
  </r>
  <r>
    <s v="ORD200339"/>
    <x v="294"/>
    <x v="339"/>
    <x v="4"/>
    <x v="1"/>
    <n v="236.33"/>
    <x v="282"/>
    <x v="1"/>
    <x v="4"/>
    <x v="339"/>
    <x v="1"/>
    <x v="0"/>
    <x v="0"/>
    <n v="472.66"/>
  </r>
  <r>
    <s v="ORD200340"/>
    <x v="295"/>
    <x v="340"/>
    <x v="5"/>
    <x v="0"/>
    <n v="521.25"/>
    <x v="283"/>
    <x v="4"/>
    <x v="1"/>
    <x v="340"/>
    <x v="2"/>
    <x v="2"/>
    <x v="2"/>
    <n v="2606.25"/>
  </r>
  <r>
    <s v="ORD200341"/>
    <x v="296"/>
    <x v="341"/>
    <x v="2"/>
    <x v="2"/>
    <n v="167.15"/>
    <x v="284"/>
    <x v="3"/>
    <x v="0"/>
    <x v="341"/>
    <x v="3"/>
    <x v="3"/>
    <x v="2"/>
    <n v="167.15"/>
  </r>
  <r>
    <s v="ORD200342"/>
    <x v="53"/>
    <x v="342"/>
    <x v="0"/>
    <x v="0"/>
    <n v="466.42"/>
    <x v="285"/>
    <x v="3"/>
    <x v="2"/>
    <x v="342"/>
    <x v="3"/>
    <x v="2"/>
    <x v="1"/>
    <n v="2332.1"/>
  </r>
  <r>
    <s v="ORD200343"/>
    <x v="297"/>
    <x v="343"/>
    <x v="4"/>
    <x v="2"/>
    <n v="527.57000000000005"/>
    <x v="286"/>
    <x v="0"/>
    <x v="4"/>
    <x v="343"/>
    <x v="1"/>
    <x v="1"/>
    <x v="3"/>
    <n v="527.57000000000005"/>
  </r>
  <r>
    <s v="ORD200344"/>
    <x v="298"/>
    <x v="344"/>
    <x v="2"/>
    <x v="4"/>
    <n v="623.34"/>
    <x v="287"/>
    <x v="1"/>
    <x v="1"/>
    <x v="344"/>
    <x v="1"/>
    <x v="0"/>
    <x v="0"/>
    <n v="1870.02"/>
  </r>
  <r>
    <s v="ORD200345"/>
    <x v="173"/>
    <x v="345"/>
    <x v="2"/>
    <x v="0"/>
    <n v="501.26"/>
    <x v="288"/>
    <x v="3"/>
    <x v="0"/>
    <x v="345"/>
    <x v="8"/>
    <x v="1"/>
    <x v="1"/>
    <n v="2506.3000000000002"/>
  </r>
  <r>
    <s v="ORD200346"/>
    <x v="299"/>
    <x v="346"/>
    <x v="2"/>
    <x v="2"/>
    <n v="655.09"/>
    <x v="289"/>
    <x v="4"/>
    <x v="4"/>
    <x v="346"/>
    <x v="5"/>
    <x v="2"/>
    <x v="1"/>
    <n v="655.09"/>
  </r>
  <r>
    <s v="ORD200347"/>
    <x v="300"/>
    <x v="347"/>
    <x v="4"/>
    <x v="3"/>
    <n v="264.79000000000002"/>
    <x v="290"/>
    <x v="2"/>
    <x v="4"/>
    <x v="347"/>
    <x v="3"/>
    <x v="0"/>
    <x v="4"/>
    <n v="1059.1600000000001"/>
  </r>
  <r>
    <s v="ORD200348"/>
    <x v="206"/>
    <x v="348"/>
    <x v="5"/>
    <x v="4"/>
    <n v="359.73"/>
    <x v="291"/>
    <x v="0"/>
    <x v="2"/>
    <x v="348"/>
    <x v="0"/>
    <x v="1"/>
    <x v="2"/>
    <n v="1079.19"/>
  </r>
  <r>
    <s v="ORD200349"/>
    <x v="115"/>
    <x v="349"/>
    <x v="3"/>
    <x v="2"/>
    <n v="465.33"/>
    <x v="292"/>
    <x v="3"/>
    <x v="3"/>
    <x v="349"/>
    <x v="7"/>
    <x v="1"/>
    <x v="4"/>
    <n v="465.33"/>
  </r>
  <r>
    <s v="ORD200350"/>
    <x v="301"/>
    <x v="350"/>
    <x v="3"/>
    <x v="1"/>
    <n v="54.41"/>
    <x v="293"/>
    <x v="1"/>
    <x v="0"/>
    <x v="350"/>
    <x v="5"/>
    <x v="2"/>
    <x v="0"/>
    <n v="108.82"/>
  </r>
  <r>
    <s v="ORD200351"/>
    <x v="302"/>
    <x v="351"/>
    <x v="5"/>
    <x v="2"/>
    <n v="64.66"/>
    <x v="294"/>
    <x v="0"/>
    <x v="3"/>
    <x v="351"/>
    <x v="4"/>
    <x v="2"/>
    <x v="0"/>
    <n v="64.66"/>
  </r>
  <r>
    <s v="ORD200352"/>
    <x v="303"/>
    <x v="352"/>
    <x v="3"/>
    <x v="0"/>
    <n v="173.96"/>
    <x v="295"/>
    <x v="0"/>
    <x v="4"/>
    <x v="352"/>
    <x v="2"/>
    <x v="3"/>
    <x v="0"/>
    <n v="869.80000000000007"/>
  </r>
  <r>
    <s v="ORD200353"/>
    <x v="210"/>
    <x v="353"/>
    <x v="2"/>
    <x v="2"/>
    <n v="630.82000000000005"/>
    <x v="296"/>
    <x v="1"/>
    <x v="3"/>
    <x v="353"/>
    <x v="3"/>
    <x v="1"/>
    <x v="4"/>
    <n v="630.82000000000005"/>
  </r>
  <r>
    <s v="ORD200354"/>
    <x v="304"/>
    <x v="354"/>
    <x v="1"/>
    <x v="2"/>
    <n v="693.41"/>
    <x v="297"/>
    <x v="0"/>
    <x v="0"/>
    <x v="354"/>
    <x v="4"/>
    <x v="2"/>
    <x v="0"/>
    <n v="693.41"/>
  </r>
  <r>
    <s v="ORD200355"/>
    <x v="305"/>
    <x v="355"/>
    <x v="2"/>
    <x v="4"/>
    <n v="433.33"/>
    <x v="298"/>
    <x v="2"/>
    <x v="1"/>
    <x v="355"/>
    <x v="4"/>
    <x v="1"/>
    <x v="1"/>
    <n v="1299.99"/>
  </r>
  <r>
    <s v="ORD200356"/>
    <x v="306"/>
    <x v="356"/>
    <x v="4"/>
    <x v="0"/>
    <n v="374.58"/>
    <x v="299"/>
    <x v="3"/>
    <x v="1"/>
    <x v="356"/>
    <x v="8"/>
    <x v="1"/>
    <x v="0"/>
    <n v="1872.9"/>
  </r>
  <r>
    <s v="ORD200357"/>
    <x v="307"/>
    <x v="357"/>
    <x v="5"/>
    <x v="0"/>
    <n v="408.56"/>
    <x v="282"/>
    <x v="0"/>
    <x v="3"/>
    <x v="357"/>
    <x v="2"/>
    <x v="1"/>
    <x v="0"/>
    <n v="2042.8"/>
  </r>
  <r>
    <s v="ORD200358"/>
    <x v="158"/>
    <x v="358"/>
    <x v="2"/>
    <x v="1"/>
    <n v="183.67"/>
    <x v="300"/>
    <x v="1"/>
    <x v="1"/>
    <x v="358"/>
    <x v="1"/>
    <x v="0"/>
    <x v="4"/>
    <n v="367.34"/>
  </r>
  <r>
    <s v="ORD200359"/>
    <x v="308"/>
    <x v="359"/>
    <x v="6"/>
    <x v="3"/>
    <n v="606.57000000000005"/>
    <x v="301"/>
    <x v="0"/>
    <x v="3"/>
    <x v="359"/>
    <x v="3"/>
    <x v="3"/>
    <x v="1"/>
    <n v="2426.2800000000002"/>
  </r>
  <r>
    <s v="ORD200360"/>
    <x v="309"/>
    <x v="360"/>
    <x v="1"/>
    <x v="3"/>
    <n v="589.57000000000005"/>
    <x v="302"/>
    <x v="4"/>
    <x v="4"/>
    <x v="360"/>
    <x v="2"/>
    <x v="2"/>
    <x v="0"/>
    <n v="2358.2800000000002"/>
  </r>
  <r>
    <s v="ORD200361"/>
    <x v="310"/>
    <x v="361"/>
    <x v="4"/>
    <x v="0"/>
    <n v="659.85"/>
    <x v="303"/>
    <x v="2"/>
    <x v="3"/>
    <x v="361"/>
    <x v="6"/>
    <x v="0"/>
    <x v="3"/>
    <n v="3299.25"/>
  </r>
  <r>
    <s v="ORD200362"/>
    <x v="78"/>
    <x v="362"/>
    <x v="0"/>
    <x v="3"/>
    <n v="206.84"/>
    <x v="304"/>
    <x v="4"/>
    <x v="1"/>
    <x v="362"/>
    <x v="3"/>
    <x v="3"/>
    <x v="0"/>
    <n v="827.36"/>
  </r>
  <r>
    <s v="ORD200363"/>
    <x v="75"/>
    <x v="363"/>
    <x v="5"/>
    <x v="0"/>
    <n v="113.87"/>
    <x v="42"/>
    <x v="2"/>
    <x v="4"/>
    <x v="363"/>
    <x v="5"/>
    <x v="0"/>
    <x v="2"/>
    <n v="569.35"/>
  </r>
  <r>
    <s v="ORD200364"/>
    <x v="254"/>
    <x v="364"/>
    <x v="1"/>
    <x v="0"/>
    <n v="628.74"/>
    <x v="240"/>
    <x v="4"/>
    <x v="1"/>
    <x v="364"/>
    <x v="6"/>
    <x v="1"/>
    <x v="3"/>
    <n v="3143.7"/>
  </r>
  <r>
    <s v="ORD200365"/>
    <x v="311"/>
    <x v="365"/>
    <x v="1"/>
    <x v="2"/>
    <n v="678.38"/>
    <x v="276"/>
    <x v="2"/>
    <x v="1"/>
    <x v="365"/>
    <x v="4"/>
    <x v="0"/>
    <x v="1"/>
    <n v="678.38"/>
  </r>
  <r>
    <s v="ORD200366"/>
    <x v="312"/>
    <x v="366"/>
    <x v="4"/>
    <x v="4"/>
    <n v="602.24"/>
    <x v="305"/>
    <x v="0"/>
    <x v="4"/>
    <x v="366"/>
    <x v="2"/>
    <x v="2"/>
    <x v="1"/>
    <n v="1806.72"/>
  </r>
  <r>
    <s v="ORD200367"/>
    <x v="313"/>
    <x v="367"/>
    <x v="5"/>
    <x v="0"/>
    <n v="658.77"/>
    <x v="220"/>
    <x v="3"/>
    <x v="4"/>
    <x v="367"/>
    <x v="8"/>
    <x v="1"/>
    <x v="0"/>
    <n v="3293.85"/>
  </r>
  <r>
    <s v="ORD200368"/>
    <x v="31"/>
    <x v="368"/>
    <x v="0"/>
    <x v="4"/>
    <n v="271.02"/>
    <x v="306"/>
    <x v="2"/>
    <x v="1"/>
    <x v="368"/>
    <x v="5"/>
    <x v="2"/>
    <x v="4"/>
    <n v="813.06"/>
  </r>
  <r>
    <s v="ORD200369"/>
    <x v="70"/>
    <x v="369"/>
    <x v="0"/>
    <x v="0"/>
    <n v="375.25"/>
    <x v="307"/>
    <x v="3"/>
    <x v="4"/>
    <x v="369"/>
    <x v="6"/>
    <x v="0"/>
    <x v="2"/>
    <n v="1876.25"/>
  </r>
  <r>
    <s v="ORD200370"/>
    <x v="120"/>
    <x v="370"/>
    <x v="1"/>
    <x v="2"/>
    <n v="312.11"/>
    <x v="308"/>
    <x v="1"/>
    <x v="1"/>
    <x v="370"/>
    <x v="4"/>
    <x v="3"/>
    <x v="3"/>
    <n v="312.11"/>
  </r>
  <r>
    <s v="ORD200371"/>
    <x v="314"/>
    <x v="371"/>
    <x v="1"/>
    <x v="0"/>
    <n v="307.76"/>
    <x v="12"/>
    <x v="3"/>
    <x v="4"/>
    <x v="371"/>
    <x v="6"/>
    <x v="1"/>
    <x v="4"/>
    <n v="1538.8"/>
  </r>
  <r>
    <s v="ORD200372"/>
    <x v="311"/>
    <x v="372"/>
    <x v="3"/>
    <x v="4"/>
    <n v="483.53"/>
    <x v="309"/>
    <x v="4"/>
    <x v="2"/>
    <x v="372"/>
    <x v="4"/>
    <x v="2"/>
    <x v="1"/>
    <n v="1450.59"/>
  </r>
  <r>
    <s v="ORD200373"/>
    <x v="315"/>
    <x v="373"/>
    <x v="5"/>
    <x v="4"/>
    <n v="341.15"/>
    <x v="310"/>
    <x v="4"/>
    <x v="4"/>
    <x v="373"/>
    <x v="4"/>
    <x v="1"/>
    <x v="0"/>
    <n v="1023.45"/>
  </r>
  <r>
    <s v="ORD200374"/>
    <x v="316"/>
    <x v="374"/>
    <x v="0"/>
    <x v="2"/>
    <n v="571.9"/>
    <x v="67"/>
    <x v="3"/>
    <x v="4"/>
    <x v="374"/>
    <x v="9"/>
    <x v="3"/>
    <x v="0"/>
    <n v="571.9"/>
  </r>
  <r>
    <s v="ORD200375"/>
    <x v="317"/>
    <x v="375"/>
    <x v="0"/>
    <x v="3"/>
    <n v="95.03"/>
    <x v="311"/>
    <x v="1"/>
    <x v="0"/>
    <x v="375"/>
    <x v="2"/>
    <x v="1"/>
    <x v="3"/>
    <n v="380.12"/>
  </r>
  <r>
    <s v="ORD200376"/>
    <x v="318"/>
    <x v="376"/>
    <x v="0"/>
    <x v="0"/>
    <n v="201.22"/>
    <x v="312"/>
    <x v="0"/>
    <x v="4"/>
    <x v="376"/>
    <x v="5"/>
    <x v="1"/>
    <x v="3"/>
    <n v="1006.1"/>
  </r>
  <r>
    <s v="ORD200377"/>
    <x v="319"/>
    <x v="377"/>
    <x v="0"/>
    <x v="2"/>
    <n v="260.26"/>
    <x v="261"/>
    <x v="1"/>
    <x v="4"/>
    <x v="377"/>
    <x v="3"/>
    <x v="3"/>
    <x v="0"/>
    <n v="260.26"/>
  </r>
  <r>
    <s v="ORD200378"/>
    <x v="320"/>
    <x v="378"/>
    <x v="3"/>
    <x v="0"/>
    <n v="64.5"/>
    <x v="313"/>
    <x v="2"/>
    <x v="4"/>
    <x v="378"/>
    <x v="2"/>
    <x v="3"/>
    <x v="0"/>
    <n v="322.5"/>
  </r>
  <r>
    <s v="ORD200379"/>
    <x v="321"/>
    <x v="379"/>
    <x v="1"/>
    <x v="4"/>
    <n v="297.67"/>
    <x v="161"/>
    <x v="1"/>
    <x v="0"/>
    <x v="379"/>
    <x v="5"/>
    <x v="2"/>
    <x v="4"/>
    <n v="893.01"/>
  </r>
  <r>
    <s v="ORD200380"/>
    <x v="322"/>
    <x v="380"/>
    <x v="4"/>
    <x v="3"/>
    <n v="331.9"/>
    <x v="230"/>
    <x v="4"/>
    <x v="4"/>
    <x v="380"/>
    <x v="3"/>
    <x v="0"/>
    <x v="0"/>
    <n v="1327.6"/>
  </r>
  <r>
    <s v="ORD200381"/>
    <x v="323"/>
    <x v="381"/>
    <x v="3"/>
    <x v="2"/>
    <n v="191.76"/>
    <x v="44"/>
    <x v="2"/>
    <x v="2"/>
    <x v="381"/>
    <x v="9"/>
    <x v="1"/>
    <x v="0"/>
    <n v="191.76"/>
  </r>
  <r>
    <s v="ORD200382"/>
    <x v="324"/>
    <x v="382"/>
    <x v="4"/>
    <x v="3"/>
    <n v="263.08999999999997"/>
    <x v="314"/>
    <x v="0"/>
    <x v="0"/>
    <x v="382"/>
    <x v="2"/>
    <x v="0"/>
    <x v="4"/>
    <n v="1052.3599999999999"/>
  </r>
  <r>
    <s v="ORD200383"/>
    <x v="325"/>
    <x v="383"/>
    <x v="3"/>
    <x v="3"/>
    <n v="393.8"/>
    <x v="87"/>
    <x v="2"/>
    <x v="4"/>
    <x v="383"/>
    <x v="0"/>
    <x v="0"/>
    <x v="2"/>
    <n v="1575.2"/>
  </r>
  <r>
    <s v="ORD200384"/>
    <x v="167"/>
    <x v="384"/>
    <x v="3"/>
    <x v="4"/>
    <n v="553.57000000000005"/>
    <x v="315"/>
    <x v="2"/>
    <x v="2"/>
    <x v="384"/>
    <x v="4"/>
    <x v="1"/>
    <x v="3"/>
    <n v="1660.71"/>
  </r>
  <r>
    <s v="ORD200385"/>
    <x v="150"/>
    <x v="385"/>
    <x v="3"/>
    <x v="0"/>
    <n v="191.63"/>
    <x v="60"/>
    <x v="3"/>
    <x v="3"/>
    <x v="385"/>
    <x v="5"/>
    <x v="1"/>
    <x v="3"/>
    <n v="958.15"/>
  </r>
  <r>
    <s v="ORD200386"/>
    <x v="200"/>
    <x v="386"/>
    <x v="2"/>
    <x v="2"/>
    <n v="93.02"/>
    <x v="316"/>
    <x v="1"/>
    <x v="2"/>
    <x v="386"/>
    <x v="4"/>
    <x v="2"/>
    <x v="2"/>
    <n v="93.02"/>
  </r>
  <r>
    <s v="ORD200387"/>
    <x v="326"/>
    <x v="387"/>
    <x v="4"/>
    <x v="1"/>
    <n v="39.53"/>
    <x v="8"/>
    <x v="2"/>
    <x v="0"/>
    <x v="387"/>
    <x v="1"/>
    <x v="3"/>
    <x v="4"/>
    <n v="79.06"/>
  </r>
  <r>
    <s v="ORD200388"/>
    <x v="153"/>
    <x v="388"/>
    <x v="4"/>
    <x v="4"/>
    <n v="633.97"/>
    <x v="94"/>
    <x v="4"/>
    <x v="4"/>
    <x v="388"/>
    <x v="0"/>
    <x v="3"/>
    <x v="3"/>
    <n v="1901.91"/>
  </r>
  <r>
    <s v="ORD200389"/>
    <x v="327"/>
    <x v="389"/>
    <x v="6"/>
    <x v="3"/>
    <n v="697.5"/>
    <x v="317"/>
    <x v="4"/>
    <x v="0"/>
    <x v="389"/>
    <x v="0"/>
    <x v="1"/>
    <x v="1"/>
    <n v="2790"/>
  </r>
  <r>
    <s v="ORD200390"/>
    <x v="328"/>
    <x v="390"/>
    <x v="4"/>
    <x v="0"/>
    <n v="508.69"/>
    <x v="291"/>
    <x v="4"/>
    <x v="3"/>
    <x v="390"/>
    <x v="8"/>
    <x v="1"/>
    <x v="4"/>
    <n v="2543.4499999999998"/>
  </r>
  <r>
    <s v="ORD200391"/>
    <x v="317"/>
    <x v="391"/>
    <x v="5"/>
    <x v="1"/>
    <n v="527.46"/>
    <x v="244"/>
    <x v="0"/>
    <x v="1"/>
    <x v="391"/>
    <x v="1"/>
    <x v="1"/>
    <x v="1"/>
    <n v="1054.92"/>
  </r>
  <r>
    <s v="ORD200392"/>
    <x v="329"/>
    <x v="392"/>
    <x v="1"/>
    <x v="2"/>
    <n v="627.20000000000005"/>
    <x v="303"/>
    <x v="1"/>
    <x v="3"/>
    <x v="392"/>
    <x v="9"/>
    <x v="3"/>
    <x v="2"/>
    <n v="627.20000000000005"/>
  </r>
  <r>
    <s v="ORD200393"/>
    <x v="330"/>
    <x v="393"/>
    <x v="4"/>
    <x v="2"/>
    <n v="75.010000000000005"/>
    <x v="318"/>
    <x v="2"/>
    <x v="2"/>
    <x v="393"/>
    <x v="1"/>
    <x v="2"/>
    <x v="4"/>
    <n v="75.010000000000005"/>
  </r>
  <r>
    <s v="ORD200394"/>
    <x v="176"/>
    <x v="394"/>
    <x v="6"/>
    <x v="0"/>
    <n v="529.54999999999995"/>
    <x v="319"/>
    <x v="3"/>
    <x v="0"/>
    <x v="394"/>
    <x v="8"/>
    <x v="2"/>
    <x v="3"/>
    <n v="2647.75"/>
  </r>
  <r>
    <s v="ORD200395"/>
    <x v="331"/>
    <x v="395"/>
    <x v="1"/>
    <x v="4"/>
    <n v="127.41"/>
    <x v="32"/>
    <x v="3"/>
    <x v="3"/>
    <x v="395"/>
    <x v="0"/>
    <x v="0"/>
    <x v="1"/>
    <n v="382.23"/>
  </r>
  <r>
    <s v="ORD200396"/>
    <x v="142"/>
    <x v="396"/>
    <x v="2"/>
    <x v="0"/>
    <n v="287.13"/>
    <x v="320"/>
    <x v="1"/>
    <x v="0"/>
    <x v="396"/>
    <x v="8"/>
    <x v="0"/>
    <x v="2"/>
    <n v="1435.65"/>
  </r>
  <r>
    <s v="ORD200397"/>
    <x v="332"/>
    <x v="397"/>
    <x v="0"/>
    <x v="2"/>
    <n v="427.06"/>
    <x v="321"/>
    <x v="1"/>
    <x v="1"/>
    <x v="397"/>
    <x v="9"/>
    <x v="3"/>
    <x v="1"/>
    <n v="427.06"/>
  </r>
  <r>
    <s v="ORD200398"/>
    <x v="333"/>
    <x v="398"/>
    <x v="1"/>
    <x v="0"/>
    <n v="53.93"/>
    <x v="182"/>
    <x v="3"/>
    <x v="0"/>
    <x v="398"/>
    <x v="0"/>
    <x v="0"/>
    <x v="0"/>
    <n v="269.64999999999998"/>
  </r>
  <r>
    <s v="ORD200399"/>
    <x v="334"/>
    <x v="399"/>
    <x v="2"/>
    <x v="0"/>
    <n v="423.93"/>
    <x v="322"/>
    <x v="0"/>
    <x v="2"/>
    <x v="399"/>
    <x v="3"/>
    <x v="1"/>
    <x v="3"/>
    <n v="2119.65"/>
  </r>
  <r>
    <s v="ORD200400"/>
    <x v="335"/>
    <x v="400"/>
    <x v="6"/>
    <x v="3"/>
    <n v="160.22"/>
    <x v="323"/>
    <x v="0"/>
    <x v="2"/>
    <x v="400"/>
    <x v="6"/>
    <x v="3"/>
    <x v="0"/>
    <n v="640.88"/>
  </r>
  <r>
    <s v="ORD200401"/>
    <x v="23"/>
    <x v="401"/>
    <x v="4"/>
    <x v="2"/>
    <n v="538.67999999999995"/>
    <x v="303"/>
    <x v="0"/>
    <x v="2"/>
    <x v="401"/>
    <x v="5"/>
    <x v="2"/>
    <x v="1"/>
    <n v="538.67999999999995"/>
  </r>
  <r>
    <s v="ORD200402"/>
    <x v="336"/>
    <x v="402"/>
    <x v="4"/>
    <x v="0"/>
    <n v="337.38"/>
    <x v="324"/>
    <x v="3"/>
    <x v="0"/>
    <x v="402"/>
    <x v="3"/>
    <x v="2"/>
    <x v="1"/>
    <n v="1686.9"/>
  </r>
  <r>
    <s v="ORD200403"/>
    <x v="337"/>
    <x v="403"/>
    <x v="2"/>
    <x v="2"/>
    <n v="620.21"/>
    <x v="240"/>
    <x v="1"/>
    <x v="2"/>
    <x v="403"/>
    <x v="9"/>
    <x v="1"/>
    <x v="1"/>
    <n v="620.21"/>
  </r>
  <r>
    <s v="ORD200404"/>
    <x v="338"/>
    <x v="404"/>
    <x v="0"/>
    <x v="1"/>
    <n v="99.1"/>
    <x v="63"/>
    <x v="4"/>
    <x v="3"/>
    <x v="404"/>
    <x v="5"/>
    <x v="2"/>
    <x v="0"/>
    <n v="198.2"/>
  </r>
  <r>
    <s v="ORD200405"/>
    <x v="281"/>
    <x v="405"/>
    <x v="0"/>
    <x v="3"/>
    <n v="451.97"/>
    <x v="305"/>
    <x v="1"/>
    <x v="1"/>
    <x v="405"/>
    <x v="0"/>
    <x v="3"/>
    <x v="2"/>
    <n v="1807.88"/>
  </r>
  <r>
    <s v="ORD200406"/>
    <x v="339"/>
    <x v="406"/>
    <x v="2"/>
    <x v="3"/>
    <n v="66.099999999999994"/>
    <x v="167"/>
    <x v="4"/>
    <x v="2"/>
    <x v="406"/>
    <x v="6"/>
    <x v="3"/>
    <x v="4"/>
    <n v="264.39999999999998"/>
  </r>
  <r>
    <s v="ORD200407"/>
    <x v="340"/>
    <x v="407"/>
    <x v="2"/>
    <x v="3"/>
    <n v="547.32000000000005"/>
    <x v="224"/>
    <x v="4"/>
    <x v="2"/>
    <x v="407"/>
    <x v="2"/>
    <x v="1"/>
    <x v="0"/>
    <n v="2189.2800000000002"/>
  </r>
  <r>
    <s v="ORD200408"/>
    <x v="341"/>
    <x v="408"/>
    <x v="4"/>
    <x v="4"/>
    <n v="412.53"/>
    <x v="325"/>
    <x v="1"/>
    <x v="4"/>
    <x v="408"/>
    <x v="5"/>
    <x v="3"/>
    <x v="4"/>
    <n v="1237.5899999999999"/>
  </r>
  <r>
    <s v="ORD200409"/>
    <x v="342"/>
    <x v="409"/>
    <x v="6"/>
    <x v="0"/>
    <n v="84.13"/>
    <x v="326"/>
    <x v="1"/>
    <x v="3"/>
    <x v="409"/>
    <x v="6"/>
    <x v="0"/>
    <x v="4"/>
    <n v="420.65"/>
  </r>
  <r>
    <s v="ORD200410"/>
    <x v="343"/>
    <x v="410"/>
    <x v="2"/>
    <x v="1"/>
    <n v="518.23"/>
    <x v="327"/>
    <x v="0"/>
    <x v="0"/>
    <x v="410"/>
    <x v="3"/>
    <x v="2"/>
    <x v="2"/>
    <n v="1036.46"/>
  </r>
  <r>
    <s v="ORD200411"/>
    <x v="83"/>
    <x v="411"/>
    <x v="6"/>
    <x v="1"/>
    <n v="39.51"/>
    <x v="139"/>
    <x v="1"/>
    <x v="0"/>
    <x v="411"/>
    <x v="3"/>
    <x v="2"/>
    <x v="3"/>
    <n v="79.02"/>
  </r>
  <r>
    <s v="ORD200412"/>
    <x v="344"/>
    <x v="412"/>
    <x v="2"/>
    <x v="0"/>
    <n v="133.01"/>
    <x v="328"/>
    <x v="2"/>
    <x v="2"/>
    <x v="412"/>
    <x v="8"/>
    <x v="2"/>
    <x v="3"/>
    <n v="665.05"/>
  </r>
  <r>
    <s v="ORD200413"/>
    <x v="345"/>
    <x v="413"/>
    <x v="2"/>
    <x v="2"/>
    <n v="118.8"/>
    <x v="329"/>
    <x v="1"/>
    <x v="3"/>
    <x v="413"/>
    <x v="5"/>
    <x v="0"/>
    <x v="2"/>
    <n v="118.8"/>
  </r>
  <r>
    <s v="ORD200414"/>
    <x v="346"/>
    <x v="414"/>
    <x v="6"/>
    <x v="1"/>
    <n v="139.57"/>
    <x v="330"/>
    <x v="4"/>
    <x v="3"/>
    <x v="414"/>
    <x v="4"/>
    <x v="3"/>
    <x v="3"/>
    <n v="279.14"/>
  </r>
  <r>
    <s v="ORD200415"/>
    <x v="161"/>
    <x v="415"/>
    <x v="3"/>
    <x v="2"/>
    <n v="184.15"/>
    <x v="229"/>
    <x v="3"/>
    <x v="0"/>
    <x v="415"/>
    <x v="3"/>
    <x v="1"/>
    <x v="3"/>
    <n v="184.15"/>
  </r>
  <r>
    <s v="ORD200416"/>
    <x v="202"/>
    <x v="416"/>
    <x v="5"/>
    <x v="1"/>
    <n v="644.04999999999995"/>
    <x v="331"/>
    <x v="3"/>
    <x v="1"/>
    <x v="416"/>
    <x v="3"/>
    <x v="3"/>
    <x v="1"/>
    <n v="1288.0999999999999"/>
  </r>
  <r>
    <s v="ORD200417"/>
    <x v="347"/>
    <x v="417"/>
    <x v="5"/>
    <x v="0"/>
    <n v="55.41"/>
    <x v="332"/>
    <x v="1"/>
    <x v="1"/>
    <x v="417"/>
    <x v="3"/>
    <x v="2"/>
    <x v="4"/>
    <n v="277.05"/>
  </r>
  <r>
    <s v="ORD200418"/>
    <x v="348"/>
    <x v="418"/>
    <x v="4"/>
    <x v="2"/>
    <n v="310.93"/>
    <x v="333"/>
    <x v="1"/>
    <x v="1"/>
    <x v="418"/>
    <x v="1"/>
    <x v="2"/>
    <x v="3"/>
    <n v="310.93"/>
  </r>
  <r>
    <s v="ORD200419"/>
    <x v="349"/>
    <x v="419"/>
    <x v="2"/>
    <x v="1"/>
    <n v="216.66"/>
    <x v="291"/>
    <x v="0"/>
    <x v="4"/>
    <x v="419"/>
    <x v="5"/>
    <x v="1"/>
    <x v="0"/>
    <n v="433.32"/>
  </r>
  <r>
    <s v="ORD200420"/>
    <x v="350"/>
    <x v="420"/>
    <x v="1"/>
    <x v="2"/>
    <n v="452.7"/>
    <x v="334"/>
    <x v="0"/>
    <x v="0"/>
    <x v="420"/>
    <x v="3"/>
    <x v="1"/>
    <x v="0"/>
    <n v="452.7"/>
  </r>
  <r>
    <s v="ORD200421"/>
    <x v="3"/>
    <x v="421"/>
    <x v="3"/>
    <x v="1"/>
    <n v="288.20999999999998"/>
    <x v="335"/>
    <x v="0"/>
    <x v="1"/>
    <x v="421"/>
    <x v="3"/>
    <x v="2"/>
    <x v="2"/>
    <n v="576.41999999999996"/>
  </r>
  <r>
    <s v="ORD200422"/>
    <x v="32"/>
    <x v="422"/>
    <x v="1"/>
    <x v="3"/>
    <n v="206.6"/>
    <x v="16"/>
    <x v="3"/>
    <x v="2"/>
    <x v="422"/>
    <x v="5"/>
    <x v="3"/>
    <x v="1"/>
    <n v="826.4"/>
  </r>
  <r>
    <s v="ORD200423"/>
    <x v="351"/>
    <x v="423"/>
    <x v="4"/>
    <x v="3"/>
    <n v="685.2"/>
    <x v="241"/>
    <x v="3"/>
    <x v="1"/>
    <x v="423"/>
    <x v="5"/>
    <x v="3"/>
    <x v="4"/>
    <n v="2740.8"/>
  </r>
  <r>
    <s v="ORD200424"/>
    <x v="352"/>
    <x v="424"/>
    <x v="3"/>
    <x v="0"/>
    <n v="22.94"/>
    <x v="268"/>
    <x v="4"/>
    <x v="4"/>
    <x v="424"/>
    <x v="8"/>
    <x v="2"/>
    <x v="2"/>
    <n v="114.7"/>
  </r>
  <r>
    <s v="ORD200425"/>
    <x v="338"/>
    <x v="425"/>
    <x v="5"/>
    <x v="1"/>
    <n v="301.88"/>
    <x v="336"/>
    <x v="3"/>
    <x v="2"/>
    <x v="425"/>
    <x v="3"/>
    <x v="3"/>
    <x v="2"/>
    <n v="603.76"/>
  </r>
  <r>
    <s v="ORD200426"/>
    <x v="353"/>
    <x v="426"/>
    <x v="0"/>
    <x v="0"/>
    <n v="57.45"/>
    <x v="337"/>
    <x v="4"/>
    <x v="1"/>
    <x v="426"/>
    <x v="8"/>
    <x v="2"/>
    <x v="3"/>
    <n v="287.25"/>
  </r>
  <r>
    <s v="ORD200427"/>
    <x v="144"/>
    <x v="427"/>
    <x v="6"/>
    <x v="2"/>
    <n v="161.24"/>
    <x v="338"/>
    <x v="2"/>
    <x v="4"/>
    <x v="427"/>
    <x v="1"/>
    <x v="3"/>
    <x v="0"/>
    <n v="161.24"/>
  </r>
  <r>
    <s v="ORD200428"/>
    <x v="130"/>
    <x v="428"/>
    <x v="3"/>
    <x v="3"/>
    <n v="262.58"/>
    <x v="30"/>
    <x v="1"/>
    <x v="1"/>
    <x v="428"/>
    <x v="2"/>
    <x v="3"/>
    <x v="2"/>
    <n v="1050.32"/>
  </r>
  <r>
    <s v="ORD200429"/>
    <x v="36"/>
    <x v="429"/>
    <x v="4"/>
    <x v="3"/>
    <n v="515.19000000000005"/>
    <x v="101"/>
    <x v="2"/>
    <x v="4"/>
    <x v="429"/>
    <x v="6"/>
    <x v="0"/>
    <x v="3"/>
    <n v="2060.7600000000002"/>
  </r>
  <r>
    <s v="ORD200430"/>
    <x v="323"/>
    <x v="430"/>
    <x v="1"/>
    <x v="2"/>
    <n v="450.07"/>
    <x v="339"/>
    <x v="3"/>
    <x v="0"/>
    <x v="430"/>
    <x v="5"/>
    <x v="1"/>
    <x v="4"/>
    <n v="450.07"/>
  </r>
  <r>
    <s v="ORD200431"/>
    <x v="354"/>
    <x v="431"/>
    <x v="4"/>
    <x v="2"/>
    <n v="52.54"/>
    <x v="143"/>
    <x v="0"/>
    <x v="1"/>
    <x v="431"/>
    <x v="5"/>
    <x v="3"/>
    <x v="3"/>
    <n v="52.54"/>
  </r>
  <r>
    <s v="ORD200432"/>
    <x v="355"/>
    <x v="432"/>
    <x v="2"/>
    <x v="1"/>
    <n v="424.32"/>
    <x v="340"/>
    <x v="2"/>
    <x v="2"/>
    <x v="432"/>
    <x v="5"/>
    <x v="2"/>
    <x v="1"/>
    <n v="848.64"/>
  </r>
  <r>
    <s v="ORD200433"/>
    <x v="46"/>
    <x v="433"/>
    <x v="0"/>
    <x v="4"/>
    <n v="631.64"/>
    <x v="214"/>
    <x v="2"/>
    <x v="2"/>
    <x v="433"/>
    <x v="1"/>
    <x v="1"/>
    <x v="3"/>
    <n v="1894.92"/>
  </r>
  <r>
    <s v="ORD200434"/>
    <x v="356"/>
    <x v="434"/>
    <x v="4"/>
    <x v="0"/>
    <n v="327.68"/>
    <x v="65"/>
    <x v="2"/>
    <x v="2"/>
    <x v="434"/>
    <x v="5"/>
    <x v="2"/>
    <x v="3"/>
    <n v="1638.4"/>
  </r>
  <r>
    <s v="ORD200435"/>
    <x v="156"/>
    <x v="435"/>
    <x v="4"/>
    <x v="2"/>
    <n v="414.47"/>
    <x v="267"/>
    <x v="0"/>
    <x v="2"/>
    <x v="435"/>
    <x v="1"/>
    <x v="1"/>
    <x v="0"/>
    <n v="414.47"/>
  </r>
  <r>
    <s v="ORD200436"/>
    <x v="91"/>
    <x v="436"/>
    <x v="5"/>
    <x v="3"/>
    <n v="221.33"/>
    <x v="143"/>
    <x v="1"/>
    <x v="4"/>
    <x v="436"/>
    <x v="3"/>
    <x v="2"/>
    <x v="4"/>
    <n v="885.32"/>
  </r>
  <r>
    <s v="ORD200437"/>
    <x v="171"/>
    <x v="437"/>
    <x v="1"/>
    <x v="2"/>
    <n v="512.39"/>
    <x v="341"/>
    <x v="1"/>
    <x v="3"/>
    <x v="437"/>
    <x v="7"/>
    <x v="1"/>
    <x v="0"/>
    <n v="512.39"/>
  </r>
  <r>
    <s v="ORD200438"/>
    <x v="195"/>
    <x v="438"/>
    <x v="2"/>
    <x v="4"/>
    <n v="459.34"/>
    <x v="342"/>
    <x v="3"/>
    <x v="4"/>
    <x v="438"/>
    <x v="1"/>
    <x v="0"/>
    <x v="0"/>
    <n v="1378.02"/>
  </r>
  <r>
    <s v="ORD200439"/>
    <x v="50"/>
    <x v="439"/>
    <x v="2"/>
    <x v="2"/>
    <n v="146.32"/>
    <x v="343"/>
    <x v="1"/>
    <x v="0"/>
    <x v="439"/>
    <x v="4"/>
    <x v="3"/>
    <x v="3"/>
    <n v="146.32"/>
  </r>
  <r>
    <s v="ORD200440"/>
    <x v="357"/>
    <x v="440"/>
    <x v="6"/>
    <x v="3"/>
    <n v="83.6"/>
    <x v="264"/>
    <x v="0"/>
    <x v="4"/>
    <x v="440"/>
    <x v="4"/>
    <x v="0"/>
    <x v="3"/>
    <n v="334.4"/>
  </r>
  <r>
    <s v="ORD200441"/>
    <x v="141"/>
    <x v="441"/>
    <x v="4"/>
    <x v="1"/>
    <n v="328.54"/>
    <x v="344"/>
    <x v="3"/>
    <x v="2"/>
    <x v="441"/>
    <x v="5"/>
    <x v="1"/>
    <x v="2"/>
    <n v="657.08"/>
  </r>
  <r>
    <s v="ORD200442"/>
    <x v="40"/>
    <x v="442"/>
    <x v="3"/>
    <x v="0"/>
    <n v="314.94"/>
    <x v="345"/>
    <x v="4"/>
    <x v="4"/>
    <x v="442"/>
    <x v="2"/>
    <x v="0"/>
    <x v="0"/>
    <n v="1574.7"/>
  </r>
  <r>
    <s v="ORD200443"/>
    <x v="358"/>
    <x v="443"/>
    <x v="3"/>
    <x v="1"/>
    <n v="69.64"/>
    <x v="59"/>
    <x v="4"/>
    <x v="2"/>
    <x v="443"/>
    <x v="5"/>
    <x v="2"/>
    <x v="3"/>
    <n v="139.28"/>
  </r>
  <r>
    <s v="ORD200444"/>
    <x v="180"/>
    <x v="444"/>
    <x v="4"/>
    <x v="2"/>
    <n v="135.16999999999999"/>
    <x v="346"/>
    <x v="1"/>
    <x v="0"/>
    <x v="444"/>
    <x v="5"/>
    <x v="1"/>
    <x v="0"/>
    <n v="135.16999999999999"/>
  </r>
  <r>
    <s v="ORD200445"/>
    <x v="230"/>
    <x v="445"/>
    <x v="1"/>
    <x v="2"/>
    <n v="487.21"/>
    <x v="347"/>
    <x v="4"/>
    <x v="3"/>
    <x v="445"/>
    <x v="1"/>
    <x v="0"/>
    <x v="1"/>
    <n v="487.21"/>
  </r>
  <r>
    <s v="ORD200446"/>
    <x v="359"/>
    <x v="446"/>
    <x v="5"/>
    <x v="0"/>
    <n v="509.58"/>
    <x v="348"/>
    <x v="1"/>
    <x v="3"/>
    <x v="446"/>
    <x v="5"/>
    <x v="1"/>
    <x v="0"/>
    <n v="2547.9"/>
  </r>
  <r>
    <s v="ORD200447"/>
    <x v="158"/>
    <x v="447"/>
    <x v="4"/>
    <x v="1"/>
    <n v="416.81"/>
    <x v="349"/>
    <x v="4"/>
    <x v="2"/>
    <x v="447"/>
    <x v="7"/>
    <x v="2"/>
    <x v="3"/>
    <n v="833.62"/>
  </r>
  <r>
    <s v="ORD200448"/>
    <x v="355"/>
    <x v="448"/>
    <x v="5"/>
    <x v="1"/>
    <n v="160"/>
    <x v="350"/>
    <x v="4"/>
    <x v="4"/>
    <x v="448"/>
    <x v="4"/>
    <x v="0"/>
    <x v="0"/>
    <n v="320"/>
  </r>
  <r>
    <s v="ORD200449"/>
    <x v="360"/>
    <x v="449"/>
    <x v="2"/>
    <x v="4"/>
    <n v="253.05"/>
    <x v="351"/>
    <x v="1"/>
    <x v="4"/>
    <x v="449"/>
    <x v="1"/>
    <x v="2"/>
    <x v="0"/>
    <n v="759.15000000000009"/>
  </r>
  <r>
    <s v="ORD200450"/>
    <x v="361"/>
    <x v="450"/>
    <x v="0"/>
    <x v="0"/>
    <n v="615.1"/>
    <x v="352"/>
    <x v="3"/>
    <x v="2"/>
    <x v="450"/>
    <x v="8"/>
    <x v="3"/>
    <x v="0"/>
    <n v="3075.5"/>
  </r>
  <r>
    <s v="ORD200451"/>
    <x v="362"/>
    <x v="451"/>
    <x v="0"/>
    <x v="2"/>
    <n v="183.18"/>
    <x v="97"/>
    <x v="0"/>
    <x v="1"/>
    <x v="451"/>
    <x v="5"/>
    <x v="0"/>
    <x v="2"/>
    <n v="183.18"/>
  </r>
  <r>
    <s v="ORD200452"/>
    <x v="363"/>
    <x v="452"/>
    <x v="4"/>
    <x v="2"/>
    <n v="75.78"/>
    <x v="353"/>
    <x v="4"/>
    <x v="4"/>
    <x v="452"/>
    <x v="3"/>
    <x v="0"/>
    <x v="4"/>
    <n v="75.78"/>
  </r>
  <r>
    <s v="ORD200453"/>
    <x v="201"/>
    <x v="453"/>
    <x v="2"/>
    <x v="2"/>
    <n v="675.57"/>
    <x v="354"/>
    <x v="4"/>
    <x v="0"/>
    <x v="453"/>
    <x v="9"/>
    <x v="3"/>
    <x v="3"/>
    <n v="675.57"/>
  </r>
  <r>
    <s v="ORD200454"/>
    <x v="364"/>
    <x v="454"/>
    <x v="5"/>
    <x v="2"/>
    <n v="109.29"/>
    <x v="355"/>
    <x v="0"/>
    <x v="1"/>
    <x v="454"/>
    <x v="3"/>
    <x v="1"/>
    <x v="4"/>
    <n v="109.29"/>
  </r>
  <r>
    <s v="ORD200455"/>
    <x v="290"/>
    <x v="455"/>
    <x v="1"/>
    <x v="2"/>
    <n v="639.83000000000004"/>
    <x v="356"/>
    <x v="0"/>
    <x v="4"/>
    <x v="455"/>
    <x v="7"/>
    <x v="0"/>
    <x v="1"/>
    <n v="639.83000000000004"/>
  </r>
  <r>
    <s v="ORD200456"/>
    <x v="365"/>
    <x v="456"/>
    <x v="6"/>
    <x v="0"/>
    <n v="62.81"/>
    <x v="288"/>
    <x v="2"/>
    <x v="0"/>
    <x v="456"/>
    <x v="6"/>
    <x v="0"/>
    <x v="3"/>
    <n v="314.05"/>
  </r>
  <r>
    <s v="ORD200457"/>
    <x v="366"/>
    <x v="457"/>
    <x v="6"/>
    <x v="3"/>
    <n v="615.83000000000004"/>
    <x v="357"/>
    <x v="1"/>
    <x v="2"/>
    <x v="457"/>
    <x v="4"/>
    <x v="3"/>
    <x v="0"/>
    <n v="2463.3200000000002"/>
  </r>
  <r>
    <s v="ORD200458"/>
    <x v="367"/>
    <x v="458"/>
    <x v="0"/>
    <x v="3"/>
    <n v="510.58"/>
    <x v="85"/>
    <x v="2"/>
    <x v="2"/>
    <x v="458"/>
    <x v="0"/>
    <x v="3"/>
    <x v="2"/>
    <n v="2042.32"/>
  </r>
  <r>
    <s v="ORD200459"/>
    <x v="25"/>
    <x v="459"/>
    <x v="6"/>
    <x v="2"/>
    <n v="334.39"/>
    <x v="339"/>
    <x v="2"/>
    <x v="2"/>
    <x v="459"/>
    <x v="7"/>
    <x v="2"/>
    <x v="0"/>
    <n v="334.39"/>
  </r>
  <r>
    <s v="ORD200460"/>
    <x v="354"/>
    <x v="460"/>
    <x v="5"/>
    <x v="2"/>
    <n v="144.25"/>
    <x v="358"/>
    <x v="4"/>
    <x v="2"/>
    <x v="460"/>
    <x v="7"/>
    <x v="3"/>
    <x v="1"/>
    <n v="144.25"/>
  </r>
  <r>
    <s v="ORD200461"/>
    <x v="180"/>
    <x v="461"/>
    <x v="2"/>
    <x v="2"/>
    <n v="401.82"/>
    <x v="208"/>
    <x v="2"/>
    <x v="0"/>
    <x v="461"/>
    <x v="3"/>
    <x v="1"/>
    <x v="4"/>
    <n v="401.82"/>
  </r>
  <r>
    <s v="ORD200462"/>
    <x v="368"/>
    <x v="462"/>
    <x v="1"/>
    <x v="2"/>
    <n v="252.68"/>
    <x v="359"/>
    <x v="1"/>
    <x v="1"/>
    <x v="462"/>
    <x v="9"/>
    <x v="2"/>
    <x v="1"/>
    <n v="252.68"/>
  </r>
  <r>
    <s v="ORD200463"/>
    <x v="68"/>
    <x v="463"/>
    <x v="5"/>
    <x v="0"/>
    <n v="662.78"/>
    <x v="360"/>
    <x v="0"/>
    <x v="0"/>
    <x v="463"/>
    <x v="6"/>
    <x v="0"/>
    <x v="0"/>
    <n v="3313.9"/>
  </r>
  <r>
    <s v="ORD200464"/>
    <x v="369"/>
    <x v="464"/>
    <x v="2"/>
    <x v="3"/>
    <n v="434.42"/>
    <x v="361"/>
    <x v="1"/>
    <x v="1"/>
    <x v="464"/>
    <x v="5"/>
    <x v="1"/>
    <x v="4"/>
    <n v="1737.68"/>
  </r>
  <r>
    <s v="ORD200465"/>
    <x v="235"/>
    <x v="465"/>
    <x v="4"/>
    <x v="0"/>
    <n v="513.49"/>
    <x v="362"/>
    <x v="3"/>
    <x v="1"/>
    <x v="465"/>
    <x v="2"/>
    <x v="2"/>
    <x v="4"/>
    <n v="2567.4499999999998"/>
  </r>
  <r>
    <s v="ORD200466"/>
    <x v="202"/>
    <x v="466"/>
    <x v="1"/>
    <x v="2"/>
    <n v="432.47"/>
    <x v="30"/>
    <x v="4"/>
    <x v="3"/>
    <x v="466"/>
    <x v="4"/>
    <x v="1"/>
    <x v="1"/>
    <n v="432.47"/>
  </r>
  <r>
    <s v="ORD200467"/>
    <x v="225"/>
    <x v="467"/>
    <x v="6"/>
    <x v="2"/>
    <n v="45.94"/>
    <x v="167"/>
    <x v="4"/>
    <x v="1"/>
    <x v="467"/>
    <x v="7"/>
    <x v="3"/>
    <x v="2"/>
    <n v="45.94"/>
  </r>
  <r>
    <s v="ORD200468"/>
    <x v="370"/>
    <x v="468"/>
    <x v="1"/>
    <x v="2"/>
    <n v="418.36"/>
    <x v="363"/>
    <x v="2"/>
    <x v="3"/>
    <x v="468"/>
    <x v="3"/>
    <x v="1"/>
    <x v="2"/>
    <n v="418.36"/>
  </r>
  <r>
    <s v="ORD200469"/>
    <x v="371"/>
    <x v="469"/>
    <x v="3"/>
    <x v="0"/>
    <n v="676.98"/>
    <x v="136"/>
    <x v="4"/>
    <x v="1"/>
    <x v="469"/>
    <x v="3"/>
    <x v="2"/>
    <x v="3"/>
    <n v="3384.9"/>
  </r>
  <r>
    <s v="ORD200470"/>
    <x v="372"/>
    <x v="470"/>
    <x v="2"/>
    <x v="3"/>
    <n v="263.62"/>
    <x v="364"/>
    <x v="4"/>
    <x v="0"/>
    <x v="470"/>
    <x v="3"/>
    <x v="0"/>
    <x v="2"/>
    <n v="1054.48"/>
  </r>
  <r>
    <s v="ORD200471"/>
    <x v="373"/>
    <x v="471"/>
    <x v="6"/>
    <x v="0"/>
    <n v="551.27"/>
    <x v="365"/>
    <x v="1"/>
    <x v="1"/>
    <x v="471"/>
    <x v="0"/>
    <x v="1"/>
    <x v="1"/>
    <n v="2756.35"/>
  </r>
  <r>
    <s v="ORD200472"/>
    <x v="374"/>
    <x v="472"/>
    <x v="3"/>
    <x v="4"/>
    <n v="508.12"/>
    <x v="366"/>
    <x v="2"/>
    <x v="1"/>
    <x v="472"/>
    <x v="2"/>
    <x v="1"/>
    <x v="1"/>
    <n v="1524.36"/>
  </r>
  <r>
    <s v="ORD200473"/>
    <x v="86"/>
    <x v="473"/>
    <x v="3"/>
    <x v="1"/>
    <n v="14.93"/>
    <x v="367"/>
    <x v="1"/>
    <x v="0"/>
    <x v="473"/>
    <x v="4"/>
    <x v="2"/>
    <x v="3"/>
    <n v="29.86"/>
  </r>
  <r>
    <s v="ORD200474"/>
    <x v="375"/>
    <x v="474"/>
    <x v="4"/>
    <x v="4"/>
    <n v="229.34"/>
    <x v="282"/>
    <x v="2"/>
    <x v="0"/>
    <x v="474"/>
    <x v="5"/>
    <x v="0"/>
    <x v="1"/>
    <n v="688.02"/>
  </r>
  <r>
    <s v="ORD200475"/>
    <x v="373"/>
    <x v="475"/>
    <x v="2"/>
    <x v="1"/>
    <n v="438.62"/>
    <x v="368"/>
    <x v="4"/>
    <x v="1"/>
    <x v="475"/>
    <x v="1"/>
    <x v="0"/>
    <x v="3"/>
    <n v="877.24"/>
  </r>
  <r>
    <s v="ORD200476"/>
    <x v="361"/>
    <x v="476"/>
    <x v="1"/>
    <x v="1"/>
    <n v="513.59"/>
    <x v="369"/>
    <x v="1"/>
    <x v="2"/>
    <x v="476"/>
    <x v="4"/>
    <x v="1"/>
    <x v="1"/>
    <n v="1027.18"/>
  </r>
  <r>
    <s v="ORD200477"/>
    <x v="376"/>
    <x v="477"/>
    <x v="1"/>
    <x v="1"/>
    <n v="253.74"/>
    <x v="370"/>
    <x v="1"/>
    <x v="0"/>
    <x v="477"/>
    <x v="3"/>
    <x v="0"/>
    <x v="4"/>
    <n v="507.48"/>
  </r>
  <r>
    <s v="ORD200478"/>
    <x v="377"/>
    <x v="478"/>
    <x v="2"/>
    <x v="4"/>
    <n v="62.77"/>
    <x v="16"/>
    <x v="3"/>
    <x v="0"/>
    <x v="478"/>
    <x v="5"/>
    <x v="1"/>
    <x v="1"/>
    <n v="188.31"/>
  </r>
  <r>
    <s v="ORD200479"/>
    <x v="378"/>
    <x v="479"/>
    <x v="0"/>
    <x v="3"/>
    <n v="25.29"/>
    <x v="371"/>
    <x v="2"/>
    <x v="4"/>
    <x v="479"/>
    <x v="2"/>
    <x v="2"/>
    <x v="4"/>
    <n v="101.16"/>
  </r>
  <r>
    <s v="ORD200480"/>
    <x v="379"/>
    <x v="480"/>
    <x v="3"/>
    <x v="2"/>
    <n v="335.1"/>
    <x v="99"/>
    <x v="0"/>
    <x v="4"/>
    <x v="480"/>
    <x v="5"/>
    <x v="1"/>
    <x v="1"/>
    <n v="335.1"/>
  </r>
  <r>
    <s v="ORD200481"/>
    <x v="295"/>
    <x v="481"/>
    <x v="5"/>
    <x v="3"/>
    <n v="484.85"/>
    <x v="186"/>
    <x v="0"/>
    <x v="3"/>
    <x v="481"/>
    <x v="3"/>
    <x v="3"/>
    <x v="1"/>
    <n v="1939.4"/>
  </r>
  <r>
    <s v="ORD200482"/>
    <x v="380"/>
    <x v="482"/>
    <x v="0"/>
    <x v="4"/>
    <n v="381.41"/>
    <x v="77"/>
    <x v="1"/>
    <x v="4"/>
    <x v="482"/>
    <x v="5"/>
    <x v="2"/>
    <x v="0"/>
    <n v="1144.23"/>
  </r>
  <r>
    <s v="ORD200483"/>
    <x v="381"/>
    <x v="483"/>
    <x v="1"/>
    <x v="0"/>
    <n v="347.92"/>
    <x v="372"/>
    <x v="4"/>
    <x v="4"/>
    <x v="483"/>
    <x v="5"/>
    <x v="3"/>
    <x v="4"/>
    <n v="1739.6"/>
  </r>
  <r>
    <s v="ORD200484"/>
    <x v="382"/>
    <x v="484"/>
    <x v="3"/>
    <x v="3"/>
    <n v="15.01"/>
    <x v="326"/>
    <x v="4"/>
    <x v="1"/>
    <x v="484"/>
    <x v="5"/>
    <x v="2"/>
    <x v="3"/>
    <n v="60.04"/>
  </r>
  <r>
    <s v="ORD200485"/>
    <x v="383"/>
    <x v="485"/>
    <x v="3"/>
    <x v="4"/>
    <n v="404.79"/>
    <x v="373"/>
    <x v="4"/>
    <x v="0"/>
    <x v="485"/>
    <x v="5"/>
    <x v="0"/>
    <x v="0"/>
    <n v="1214.3699999999999"/>
  </r>
  <r>
    <s v="ORD200486"/>
    <x v="384"/>
    <x v="486"/>
    <x v="4"/>
    <x v="3"/>
    <n v="611.26"/>
    <x v="317"/>
    <x v="4"/>
    <x v="0"/>
    <x v="486"/>
    <x v="3"/>
    <x v="0"/>
    <x v="1"/>
    <n v="2445.04"/>
  </r>
  <r>
    <s v="ORD200487"/>
    <x v="338"/>
    <x v="487"/>
    <x v="4"/>
    <x v="4"/>
    <n v="346.52"/>
    <x v="374"/>
    <x v="2"/>
    <x v="4"/>
    <x v="487"/>
    <x v="1"/>
    <x v="0"/>
    <x v="4"/>
    <n v="1039.56"/>
  </r>
  <r>
    <s v="ORD200488"/>
    <x v="194"/>
    <x v="488"/>
    <x v="3"/>
    <x v="2"/>
    <n v="36.65"/>
    <x v="375"/>
    <x v="1"/>
    <x v="1"/>
    <x v="488"/>
    <x v="9"/>
    <x v="3"/>
    <x v="2"/>
    <n v="36.65"/>
  </r>
  <r>
    <s v="ORD200489"/>
    <x v="189"/>
    <x v="489"/>
    <x v="2"/>
    <x v="4"/>
    <n v="149.34"/>
    <x v="227"/>
    <x v="3"/>
    <x v="1"/>
    <x v="489"/>
    <x v="0"/>
    <x v="3"/>
    <x v="2"/>
    <n v="448.02"/>
  </r>
  <r>
    <s v="ORD200490"/>
    <x v="319"/>
    <x v="490"/>
    <x v="3"/>
    <x v="0"/>
    <n v="467.81"/>
    <x v="376"/>
    <x v="1"/>
    <x v="1"/>
    <x v="490"/>
    <x v="8"/>
    <x v="2"/>
    <x v="3"/>
    <n v="2339.0500000000002"/>
  </r>
  <r>
    <s v="ORD200491"/>
    <x v="314"/>
    <x v="491"/>
    <x v="1"/>
    <x v="0"/>
    <n v="420.7"/>
    <x v="370"/>
    <x v="4"/>
    <x v="4"/>
    <x v="491"/>
    <x v="3"/>
    <x v="3"/>
    <x v="3"/>
    <n v="2103.5"/>
  </r>
  <r>
    <s v="ORD200492"/>
    <x v="385"/>
    <x v="492"/>
    <x v="5"/>
    <x v="0"/>
    <n v="606.52"/>
    <x v="73"/>
    <x v="0"/>
    <x v="0"/>
    <x v="492"/>
    <x v="5"/>
    <x v="0"/>
    <x v="0"/>
    <n v="3032.6"/>
  </r>
  <r>
    <s v="ORD200493"/>
    <x v="386"/>
    <x v="493"/>
    <x v="1"/>
    <x v="2"/>
    <n v="420.26"/>
    <x v="377"/>
    <x v="2"/>
    <x v="4"/>
    <x v="493"/>
    <x v="4"/>
    <x v="1"/>
    <x v="3"/>
    <n v="420.26"/>
  </r>
  <r>
    <s v="ORD200494"/>
    <x v="45"/>
    <x v="494"/>
    <x v="5"/>
    <x v="4"/>
    <n v="505.79"/>
    <x v="378"/>
    <x v="0"/>
    <x v="4"/>
    <x v="494"/>
    <x v="1"/>
    <x v="1"/>
    <x v="1"/>
    <n v="1517.37"/>
  </r>
  <r>
    <s v="ORD200495"/>
    <x v="85"/>
    <x v="495"/>
    <x v="1"/>
    <x v="3"/>
    <n v="493.73"/>
    <x v="140"/>
    <x v="0"/>
    <x v="4"/>
    <x v="495"/>
    <x v="5"/>
    <x v="0"/>
    <x v="3"/>
    <n v="1974.92"/>
  </r>
  <r>
    <s v="ORD200496"/>
    <x v="387"/>
    <x v="496"/>
    <x v="4"/>
    <x v="4"/>
    <n v="201.21"/>
    <x v="379"/>
    <x v="1"/>
    <x v="1"/>
    <x v="496"/>
    <x v="1"/>
    <x v="0"/>
    <x v="4"/>
    <n v="603.63"/>
  </r>
  <r>
    <s v="ORD200497"/>
    <x v="101"/>
    <x v="497"/>
    <x v="4"/>
    <x v="4"/>
    <n v="112.29"/>
    <x v="380"/>
    <x v="3"/>
    <x v="0"/>
    <x v="497"/>
    <x v="5"/>
    <x v="2"/>
    <x v="4"/>
    <n v="336.87"/>
  </r>
  <r>
    <s v="ORD200498"/>
    <x v="219"/>
    <x v="498"/>
    <x v="2"/>
    <x v="3"/>
    <n v="132.56"/>
    <x v="212"/>
    <x v="4"/>
    <x v="2"/>
    <x v="498"/>
    <x v="2"/>
    <x v="3"/>
    <x v="0"/>
    <n v="530.24"/>
  </r>
  <r>
    <s v="ORD200499"/>
    <x v="388"/>
    <x v="499"/>
    <x v="4"/>
    <x v="4"/>
    <n v="539.46"/>
    <x v="381"/>
    <x v="2"/>
    <x v="0"/>
    <x v="499"/>
    <x v="4"/>
    <x v="0"/>
    <x v="3"/>
    <n v="1618.38"/>
  </r>
  <r>
    <s v="ORD200500"/>
    <x v="158"/>
    <x v="500"/>
    <x v="5"/>
    <x v="0"/>
    <n v="508.59"/>
    <x v="382"/>
    <x v="4"/>
    <x v="2"/>
    <x v="500"/>
    <x v="2"/>
    <x v="3"/>
    <x v="3"/>
    <n v="2542.9499999999998"/>
  </r>
  <r>
    <s v="ORD200501"/>
    <x v="389"/>
    <x v="501"/>
    <x v="6"/>
    <x v="3"/>
    <n v="203.46"/>
    <x v="149"/>
    <x v="2"/>
    <x v="4"/>
    <x v="501"/>
    <x v="0"/>
    <x v="0"/>
    <x v="1"/>
    <n v="813.84"/>
  </r>
  <r>
    <s v="ORD200502"/>
    <x v="390"/>
    <x v="502"/>
    <x v="0"/>
    <x v="4"/>
    <n v="565.25"/>
    <x v="383"/>
    <x v="0"/>
    <x v="2"/>
    <x v="502"/>
    <x v="0"/>
    <x v="0"/>
    <x v="2"/>
    <n v="1695.75"/>
  </r>
  <r>
    <s v="ORD200503"/>
    <x v="303"/>
    <x v="503"/>
    <x v="2"/>
    <x v="4"/>
    <n v="136.84"/>
    <x v="384"/>
    <x v="1"/>
    <x v="4"/>
    <x v="503"/>
    <x v="4"/>
    <x v="1"/>
    <x v="3"/>
    <n v="410.52"/>
  </r>
  <r>
    <s v="ORD200504"/>
    <x v="113"/>
    <x v="504"/>
    <x v="0"/>
    <x v="1"/>
    <n v="464.5"/>
    <x v="385"/>
    <x v="1"/>
    <x v="1"/>
    <x v="504"/>
    <x v="7"/>
    <x v="3"/>
    <x v="0"/>
    <n v="929"/>
  </r>
  <r>
    <s v="ORD200505"/>
    <x v="236"/>
    <x v="505"/>
    <x v="4"/>
    <x v="1"/>
    <n v="434.97"/>
    <x v="317"/>
    <x v="1"/>
    <x v="0"/>
    <x v="505"/>
    <x v="0"/>
    <x v="2"/>
    <x v="2"/>
    <n v="869.94"/>
  </r>
  <r>
    <s v="ORD200506"/>
    <x v="284"/>
    <x v="506"/>
    <x v="0"/>
    <x v="1"/>
    <n v="43.67"/>
    <x v="386"/>
    <x v="4"/>
    <x v="2"/>
    <x v="506"/>
    <x v="4"/>
    <x v="3"/>
    <x v="0"/>
    <n v="87.34"/>
  </r>
  <r>
    <s v="ORD200507"/>
    <x v="176"/>
    <x v="507"/>
    <x v="1"/>
    <x v="2"/>
    <n v="171.59"/>
    <x v="274"/>
    <x v="2"/>
    <x v="4"/>
    <x v="507"/>
    <x v="3"/>
    <x v="3"/>
    <x v="2"/>
    <n v="171.59"/>
  </r>
  <r>
    <s v="ORD200508"/>
    <x v="391"/>
    <x v="508"/>
    <x v="1"/>
    <x v="2"/>
    <n v="558.27"/>
    <x v="387"/>
    <x v="1"/>
    <x v="3"/>
    <x v="508"/>
    <x v="9"/>
    <x v="2"/>
    <x v="1"/>
    <n v="558.27"/>
  </r>
  <r>
    <s v="ORD200509"/>
    <x v="392"/>
    <x v="509"/>
    <x v="5"/>
    <x v="1"/>
    <n v="425.03"/>
    <x v="388"/>
    <x v="4"/>
    <x v="2"/>
    <x v="509"/>
    <x v="7"/>
    <x v="3"/>
    <x v="4"/>
    <n v="850.06"/>
  </r>
  <r>
    <s v="ORD200510"/>
    <x v="393"/>
    <x v="510"/>
    <x v="4"/>
    <x v="2"/>
    <n v="376.76"/>
    <x v="389"/>
    <x v="0"/>
    <x v="3"/>
    <x v="510"/>
    <x v="3"/>
    <x v="0"/>
    <x v="2"/>
    <n v="376.76"/>
  </r>
  <r>
    <s v="ORD200511"/>
    <x v="394"/>
    <x v="511"/>
    <x v="0"/>
    <x v="0"/>
    <n v="575.24"/>
    <x v="40"/>
    <x v="4"/>
    <x v="3"/>
    <x v="511"/>
    <x v="0"/>
    <x v="3"/>
    <x v="2"/>
    <n v="2876.2"/>
  </r>
  <r>
    <s v="ORD200512"/>
    <x v="395"/>
    <x v="512"/>
    <x v="6"/>
    <x v="4"/>
    <n v="568.02"/>
    <x v="252"/>
    <x v="1"/>
    <x v="4"/>
    <x v="512"/>
    <x v="1"/>
    <x v="1"/>
    <x v="0"/>
    <n v="1704.06"/>
  </r>
  <r>
    <s v="ORD200513"/>
    <x v="396"/>
    <x v="513"/>
    <x v="2"/>
    <x v="4"/>
    <n v="94.88"/>
    <x v="91"/>
    <x v="3"/>
    <x v="0"/>
    <x v="513"/>
    <x v="2"/>
    <x v="2"/>
    <x v="1"/>
    <n v="284.64"/>
  </r>
  <r>
    <s v="ORD200514"/>
    <x v="397"/>
    <x v="514"/>
    <x v="4"/>
    <x v="4"/>
    <n v="304.14999999999998"/>
    <x v="354"/>
    <x v="3"/>
    <x v="0"/>
    <x v="514"/>
    <x v="1"/>
    <x v="3"/>
    <x v="0"/>
    <n v="912.44999999999993"/>
  </r>
  <r>
    <s v="ORD200515"/>
    <x v="369"/>
    <x v="515"/>
    <x v="1"/>
    <x v="4"/>
    <n v="553.52"/>
    <x v="352"/>
    <x v="3"/>
    <x v="0"/>
    <x v="515"/>
    <x v="4"/>
    <x v="1"/>
    <x v="3"/>
    <n v="1660.56"/>
  </r>
  <r>
    <s v="ORD200516"/>
    <x v="158"/>
    <x v="516"/>
    <x v="0"/>
    <x v="4"/>
    <n v="166.99"/>
    <x v="249"/>
    <x v="4"/>
    <x v="2"/>
    <x v="516"/>
    <x v="2"/>
    <x v="2"/>
    <x v="3"/>
    <n v="500.97"/>
  </r>
  <r>
    <s v="ORD200517"/>
    <x v="398"/>
    <x v="517"/>
    <x v="2"/>
    <x v="3"/>
    <n v="198.35"/>
    <x v="371"/>
    <x v="4"/>
    <x v="1"/>
    <x v="517"/>
    <x v="0"/>
    <x v="1"/>
    <x v="4"/>
    <n v="793.4"/>
  </r>
  <r>
    <s v="ORD200518"/>
    <x v="399"/>
    <x v="518"/>
    <x v="4"/>
    <x v="3"/>
    <n v="403.58"/>
    <x v="322"/>
    <x v="1"/>
    <x v="4"/>
    <x v="518"/>
    <x v="6"/>
    <x v="0"/>
    <x v="1"/>
    <n v="1614.32"/>
  </r>
  <r>
    <s v="ORD200519"/>
    <x v="400"/>
    <x v="519"/>
    <x v="5"/>
    <x v="3"/>
    <n v="464.29"/>
    <x v="390"/>
    <x v="0"/>
    <x v="2"/>
    <x v="519"/>
    <x v="3"/>
    <x v="0"/>
    <x v="2"/>
    <n v="1857.16"/>
  </r>
  <r>
    <s v="ORD200520"/>
    <x v="401"/>
    <x v="520"/>
    <x v="0"/>
    <x v="4"/>
    <n v="635.98"/>
    <x v="391"/>
    <x v="4"/>
    <x v="2"/>
    <x v="520"/>
    <x v="3"/>
    <x v="2"/>
    <x v="1"/>
    <n v="1907.94"/>
  </r>
  <r>
    <s v="ORD200521"/>
    <x v="402"/>
    <x v="521"/>
    <x v="1"/>
    <x v="2"/>
    <n v="528.05999999999995"/>
    <x v="392"/>
    <x v="2"/>
    <x v="0"/>
    <x v="521"/>
    <x v="7"/>
    <x v="2"/>
    <x v="3"/>
    <n v="528.05999999999995"/>
  </r>
  <r>
    <s v="ORD200522"/>
    <x v="322"/>
    <x v="522"/>
    <x v="3"/>
    <x v="2"/>
    <n v="515.32000000000005"/>
    <x v="240"/>
    <x v="3"/>
    <x v="1"/>
    <x v="522"/>
    <x v="9"/>
    <x v="1"/>
    <x v="2"/>
    <n v="515.32000000000005"/>
  </r>
  <r>
    <s v="ORD200523"/>
    <x v="403"/>
    <x v="523"/>
    <x v="6"/>
    <x v="3"/>
    <n v="657.79"/>
    <x v="331"/>
    <x v="2"/>
    <x v="2"/>
    <x v="523"/>
    <x v="5"/>
    <x v="3"/>
    <x v="4"/>
    <n v="2631.16"/>
  </r>
  <r>
    <s v="ORD200524"/>
    <x v="385"/>
    <x v="524"/>
    <x v="1"/>
    <x v="2"/>
    <n v="153"/>
    <x v="73"/>
    <x v="2"/>
    <x v="2"/>
    <x v="524"/>
    <x v="4"/>
    <x v="2"/>
    <x v="1"/>
    <n v="153"/>
  </r>
  <r>
    <s v="ORD200525"/>
    <x v="404"/>
    <x v="525"/>
    <x v="0"/>
    <x v="2"/>
    <n v="668.48"/>
    <x v="352"/>
    <x v="0"/>
    <x v="0"/>
    <x v="525"/>
    <x v="9"/>
    <x v="0"/>
    <x v="2"/>
    <n v="668.48"/>
  </r>
  <r>
    <s v="ORD200526"/>
    <x v="405"/>
    <x v="526"/>
    <x v="6"/>
    <x v="1"/>
    <n v="46.5"/>
    <x v="87"/>
    <x v="4"/>
    <x v="2"/>
    <x v="526"/>
    <x v="0"/>
    <x v="3"/>
    <x v="4"/>
    <n v="93"/>
  </r>
  <r>
    <s v="ORD200527"/>
    <x v="406"/>
    <x v="527"/>
    <x v="3"/>
    <x v="0"/>
    <n v="653.47"/>
    <x v="78"/>
    <x v="2"/>
    <x v="1"/>
    <x v="527"/>
    <x v="8"/>
    <x v="0"/>
    <x v="1"/>
    <n v="3267.35"/>
  </r>
  <r>
    <s v="ORD200528"/>
    <x v="407"/>
    <x v="528"/>
    <x v="3"/>
    <x v="2"/>
    <n v="628.89"/>
    <x v="355"/>
    <x v="2"/>
    <x v="2"/>
    <x v="528"/>
    <x v="7"/>
    <x v="0"/>
    <x v="1"/>
    <n v="628.89"/>
  </r>
  <r>
    <s v="ORD200529"/>
    <x v="158"/>
    <x v="529"/>
    <x v="2"/>
    <x v="1"/>
    <n v="675.1"/>
    <x v="393"/>
    <x v="4"/>
    <x v="4"/>
    <x v="529"/>
    <x v="4"/>
    <x v="1"/>
    <x v="4"/>
    <n v="1350.2"/>
  </r>
  <r>
    <s v="ORD200530"/>
    <x v="408"/>
    <x v="530"/>
    <x v="3"/>
    <x v="3"/>
    <n v="89.41"/>
    <x v="394"/>
    <x v="1"/>
    <x v="4"/>
    <x v="530"/>
    <x v="6"/>
    <x v="2"/>
    <x v="4"/>
    <n v="357.64"/>
  </r>
  <r>
    <s v="ORD200531"/>
    <x v="367"/>
    <x v="531"/>
    <x v="6"/>
    <x v="0"/>
    <n v="320.01"/>
    <x v="395"/>
    <x v="3"/>
    <x v="3"/>
    <x v="531"/>
    <x v="5"/>
    <x v="2"/>
    <x v="1"/>
    <n v="1600.05"/>
  </r>
  <r>
    <s v="ORD200532"/>
    <x v="120"/>
    <x v="532"/>
    <x v="5"/>
    <x v="1"/>
    <n v="41"/>
    <x v="396"/>
    <x v="1"/>
    <x v="3"/>
    <x v="532"/>
    <x v="0"/>
    <x v="2"/>
    <x v="2"/>
    <n v="82"/>
  </r>
  <r>
    <s v="ORD200533"/>
    <x v="409"/>
    <x v="533"/>
    <x v="6"/>
    <x v="2"/>
    <n v="565.85"/>
    <x v="62"/>
    <x v="3"/>
    <x v="2"/>
    <x v="533"/>
    <x v="9"/>
    <x v="1"/>
    <x v="3"/>
    <n v="565.85"/>
  </r>
  <r>
    <s v="ORD200534"/>
    <x v="309"/>
    <x v="534"/>
    <x v="3"/>
    <x v="4"/>
    <n v="648.59"/>
    <x v="397"/>
    <x v="0"/>
    <x v="1"/>
    <x v="534"/>
    <x v="4"/>
    <x v="0"/>
    <x v="2"/>
    <n v="1945.77"/>
  </r>
  <r>
    <s v="ORD200535"/>
    <x v="25"/>
    <x v="535"/>
    <x v="0"/>
    <x v="4"/>
    <n v="68.12"/>
    <x v="157"/>
    <x v="1"/>
    <x v="1"/>
    <x v="535"/>
    <x v="1"/>
    <x v="1"/>
    <x v="2"/>
    <n v="204.36"/>
  </r>
  <r>
    <s v="ORD200536"/>
    <x v="410"/>
    <x v="536"/>
    <x v="3"/>
    <x v="2"/>
    <n v="616.1"/>
    <x v="398"/>
    <x v="4"/>
    <x v="2"/>
    <x v="536"/>
    <x v="5"/>
    <x v="2"/>
    <x v="2"/>
    <n v="616.1"/>
  </r>
  <r>
    <s v="ORD200537"/>
    <x v="411"/>
    <x v="537"/>
    <x v="2"/>
    <x v="4"/>
    <n v="247.47"/>
    <x v="61"/>
    <x v="1"/>
    <x v="3"/>
    <x v="537"/>
    <x v="4"/>
    <x v="0"/>
    <x v="3"/>
    <n v="742.41"/>
  </r>
  <r>
    <s v="ORD200538"/>
    <x v="75"/>
    <x v="538"/>
    <x v="1"/>
    <x v="4"/>
    <n v="490.74"/>
    <x v="399"/>
    <x v="4"/>
    <x v="0"/>
    <x v="538"/>
    <x v="1"/>
    <x v="3"/>
    <x v="2"/>
    <n v="1472.22"/>
  </r>
  <r>
    <s v="ORD200539"/>
    <x v="403"/>
    <x v="539"/>
    <x v="6"/>
    <x v="4"/>
    <n v="531.72"/>
    <x v="400"/>
    <x v="3"/>
    <x v="3"/>
    <x v="539"/>
    <x v="0"/>
    <x v="0"/>
    <x v="4"/>
    <n v="1595.16"/>
  </r>
  <r>
    <s v="ORD200540"/>
    <x v="412"/>
    <x v="540"/>
    <x v="5"/>
    <x v="0"/>
    <n v="648.65"/>
    <x v="401"/>
    <x v="1"/>
    <x v="4"/>
    <x v="540"/>
    <x v="0"/>
    <x v="2"/>
    <x v="1"/>
    <n v="3243.25"/>
  </r>
  <r>
    <s v="ORD200541"/>
    <x v="413"/>
    <x v="541"/>
    <x v="4"/>
    <x v="0"/>
    <n v="456.06"/>
    <x v="402"/>
    <x v="4"/>
    <x v="4"/>
    <x v="541"/>
    <x v="8"/>
    <x v="2"/>
    <x v="0"/>
    <n v="2280.3000000000002"/>
  </r>
  <r>
    <s v="ORD200542"/>
    <x v="414"/>
    <x v="542"/>
    <x v="2"/>
    <x v="2"/>
    <n v="17.98"/>
    <x v="5"/>
    <x v="4"/>
    <x v="1"/>
    <x v="542"/>
    <x v="5"/>
    <x v="1"/>
    <x v="2"/>
    <n v="17.98"/>
  </r>
  <r>
    <s v="ORD200543"/>
    <x v="415"/>
    <x v="543"/>
    <x v="6"/>
    <x v="0"/>
    <n v="269.86"/>
    <x v="159"/>
    <x v="4"/>
    <x v="0"/>
    <x v="543"/>
    <x v="5"/>
    <x v="3"/>
    <x v="3"/>
    <n v="1349.3"/>
  </r>
  <r>
    <s v="ORD200544"/>
    <x v="416"/>
    <x v="544"/>
    <x v="4"/>
    <x v="0"/>
    <n v="31.96"/>
    <x v="316"/>
    <x v="2"/>
    <x v="2"/>
    <x v="544"/>
    <x v="3"/>
    <x v="1"/>
    <x v="1"/>
    <n v="159.80000000000001"/>
  </r>
  <r>
    <s v="ORD200545"/>
    <x v="263"/>
    <x v="545"/>
    <x v="0"/>
    <x v="1"/>
    <n v="98.47"/>
    <x v="403"/>
    <x v="4"/>
    <x v="2"/>
    <x v="545"/>
    <x v="1"/>
    <x v="2"/>
    <x v="0"/>
    <n v="196.94"/>
  </r>
  <r>
    <s v="ORD200546"/>
    <x v="417"/>
    <x v="546"/>
    <x v="0"/>
    <x v="2"/>
    <n v="158.68"/>
    <x v="0"/>
    <x v="2"/>
    <x v="2"/>
    <x v="546"/>
    <x v="5"/>
    <x v="3"/>
    <x v="0"/>
    <n v="158.68"/>
  </r>
  <r>
    <s v="ORD200547"/>
    <x v="38"/>
    <x v="547"/>
    <x v="1"/>
    <x v="2"/>
    <n v="613.98"/>
    <x v="404"/>
    <x v="1"/>
    <x v="3"/>
    <x v="547"/>
    <x v="4"/>
    <x v="1"/>
    <x v="3"/>
    <n v="613.98"/>
  </r>
  <r>
    <s v="ORD200548"/>
    <x v="80"/>
    <x v="548"/>
    <x v="4"/>
    <x v="4"/>
    <n v="426.12"/>
    <x v="90"/>
    <x v="1"/>
    <x v="3"/>
    <x v="548"/>
    <x v="3"/>
    <x v="3"/>
    <x v="0"/>
    <n v="1278.3599999999999"/>
  </r>
  <r>
    <s v="ORD200549"/>
    <x v="86"/>
    <x v="549"/>
    <x v="0"/>
    <x v="3"/>
    <n v="629.88"/>
    <x v="405"/>
    <x v="0"/>
    <x v="1"/>
    <x v="549"/>
    <x v="2"/>
    <x v="3"/>
    <x v="0"/>
    <n v="2519.52"/>
  </r>
  <r>
    <s v="ORD200550"/>
    <x v="418"/>
    <x v="550"/>
    <x v="5"/>
    <x v="3"/>
    <n v="228.91"/>
    <x v="132"/>
    <x v="4"/>
    <x v="0"/>
    <x v="550"/>
    <x v="4"/>
    <x v="1"/>
    <x v="4"/>
    <n v="915.64"/>
  </r>
  <r>
    <s v="ORD200551"/>
    <x v="419"/>
    <x v="551"/>
    <x v="5"/>
    <x v="2"/>
    <n v="120.98"/>
    <x v="118"/>
    <x v="0"/>
    <x v="3"/>
    <x v="551"/>
    <x v="5"/>
    <x v="3"/>
    <x v="2"/>
    <n v="120.98"/>
  </r>
  <r>
    <s v="ORD200552"/>
    <x v="420"/>
    <x v="552"/>
    <x v="3"/>
    <x v="3"/>
    <n v="425.18"/>
    <x v="388"/>
    <x v="1"/>
    <x v="2"/>
    <x v="552"/>
    <x v="2"/>
    <x v="3"/>
    <x v="3"/>
    <n v="1700.72"/>
  </r>
  <r>
    <s v="ORD200553"/>
    <x v="421"/>
    <x v="553"/>
    <x v="1"/>
    <x v="1"/>
    <n v="333.83"/>
    <x v="406"/>
    <x v="3"/>
    <x v="1"/>
    <x v="553"/>
    <x v="4"/>
    <x v="1"/>
    <x v="1"/>
    <n v="667.66"/>
  </r>
  <r>
    <s v="ORD200554"/>
    <x v="422"/>
    <x v="554"/>
    <x v="5"/>
    <x v="1"/>
    <n v="492.9"/>
    <x v="200"/>
    <x v="4"/>
    <x v="2"/>
    <x v="554"/>
    <x v="3"/>
    <x v="1"/>
    <x v="0"/>
    <n v="985.8"/>
  </r>
  <r>
    <s v="ORD200555"/>
    <x v="33"/>
    <x v="555"/>
    <x v="2"/>
    <x v="2"/>
    <n v="92.04"/>
    <x v="10"/>
    <x v="4"/>
    <x v="0"/>
    <x v="555"/>
    <x v="7"/>
    <x v="2"/>
    <x v="3"/>
    <n v="92.04"/>
  </r>
  <r>
    <s v="ORD200556"/>
    <x v="423"/>
    <x v="556"/>
    <x v="5"/>
    <x v="2"/>
    <n v="654.27"/>
    <x v="407"/>
    <x v="3"/>
    <x v="4"/>
    <x v="556"/>
    <x v="7"/>
    <x v="0"/>
    <x v="3"/>
    <n v="654.27"/>
  </r>
  <r>
    <s v="ORD200557"/>
    <x v="282"/>
    <x v="557"/>
    <x v="2"/>
    <x v="2"/>
    <n v="56.2"/>
    <x v="408"/>
    <x v="0"/>
    <x v="4"/>
    <x v="557"/>
    <x v="9"/>
    <x v="3"/>
    <x v="3"/>
    <n v="56.2"/>
  </r>
  <r>
    <s v="ORD200558"/>
    <x v="424"/>
    <x v="558"/>
    <x v="1"/>
    <x v="3"/>
    <n v="628.12"/>
    <x v="409"/>
    <x v="1"/>
    <x v="3"/>
    <x v="558"/>
    <x v="5"/>
    <x v="3"/>
    <x v="0"/>
    <n v="2512.48"/>
  </r>
  <r>
    <s v="ORD200559"/>
    <x v="116"/>
    <x v="559"/>
    <x v="6"/>
    <x v="4"/>
    <n v="157.4"/>
    <x v="380"/>
    <x v="0"/>
    <x v="1"/>
    <x v="559"/>
    <x v="0"/>
    <x v="3"/>
    <x v="2"/>
    <n v="472.2"/>
  </r>
  <r>
    <s v="ORD200560"/>
    <x v="425"/>
    <x v="560"/>
    <x v="0"/>
    <x v="3"/>
    <n v="588.85"/>
    <x v="410"/>
    <x v="3"/>
    <x v="4"/>
    <x v="560"/>
    <x v="0"/>
    <x v="2"/>
    <x v="2"/>
    <n v="2355.4"/>
  </r>
  <r>
    <s v="ORD200561"/>
    <x v="425"/>
    <x v="561"/>
    <x v="4"/>
    <x v="1"/>
    <n v="494.78"/>
    <x v="411"/>
    <x v="1"/>
    <x v="0"/>
    <x v="561"/>
    <x v="7"/>
    <x v="2"/>
    <x v="4"/>
    <n v="989.56"/>
  </r>
  <r>
    <s v="ORD200562"/>
    <x v="426"/>
    <x v="562"/>
    <x v="5"/>
    <x v="4"/>
    <n v="663.93"/>
    <x v="90"/>
    <x v="3"/>
    <x v="2"/>
    <x v="562"/>
    <x v="5"/>
    <x v="1"/>
    <x v="2"/>
    <n v="1991.79"/>
  </r>
  <r>
    <s v="ORD200563"/>
    <x v="427"/>
    <x v="563"/>
    <x v="5"/>
    <x v="2"/>
    <n v="132.68"/>
    <x v="412"/>
    <x v="0"/>
    <x v="2"/>
    <x v="563"/>
    <x v="9"/>
    <x v="0"/>
    <x v="1"/>
    <n v="132.68"/>
  </r>
  <r>
    <s v="ORD200564"/>
    <x v="428"/>
    <x v="564"/>
    <x v="6"/>
    <x v="0"/>
    <n v="364.28"/>
    <x v="413"/>
    <x v="2"/>
    <x v="1"/>
    <x v="564"/>
    <x v="3"/>
    <x v="3"/>
    <x v="4"/>
    <n v="1821.4"/>
  </r>
  <r>
    <s v="ORD200565"/>
    <x v="429"/>
    <x v="565"/>
    <x v="2"/>
    <x v="0"/>
    <n v="307.98"/>
    <x v="360"/>
    <x v="1"/>
    <x v="4"/>
    <x v="565"/>
    <x v="8"/>
    <x v="2"/>
    <x v="3"/>
    <n v="1539.9"/>
  </r>
  <r>
    <s v="ORD200566"/>
    <x v="171"/>
    <x v="566"/>
    <x v="1"/>
    <x v="3"/>
    <n v="162.71"/>
    <x v="414"/>
    <x v="4"/>
    <x v="1"/>
    <x v="566"/>
    <x v="0"/>
    <x v="1"/>
    <x v="2"/>
    <n v="650.84"/>
  </r>
  <r>
    <s v="ORD200567"/>
    <x v="430"/>
    <x v="567"/>
    <x v="3"/>
    <x v="0"/>
    <n v="492.94"/>
    <x v="222"/>
    <x v="4"/>
    <x v="0"/>
    <x v="567"/>
    <x v="8"/>
    <x v="1"/>
    <x v="2"/>
    <n v="2464.6999999999998"/>
  </r>
  <r>
    <s v="ORD200568"/>
    <x v="401"/>
    <x v="568"/>
    <x v="5"/>
    <x v="1"/>
    <n v="343.99"/>
    <x v="304"/>
    <x v="1"/>
    <x v="3"/>
    <x v="568"/>
    <x v="4"/>
    <x v="2"/>
    <x v="4"/>
    <n v="687.98"/>
  </r>
  <r>
    <s v="ORD200569"/>
    <x v="29"/>
    <x v="569"/>
    <x v="6"/>
    <x v="0"/>
    <n v="250.68"/>
    <x v="364"/>
    <x v="4"/>
    <x v="0"/>
    <x v="569"/>
    <x v="2"/>
    <x v="0"/>
    <x v="0"/>
    <n v="1253.4000000000001"/>
  </r>
  <r>
    <s v="ORD200570"/>
    <x v="431"/>
    <x v="570"/>
    <x v="6"/>
    <x v="1"/>
    <n v="362.14"/>
    <x v="108"/>
    <x v="0"/>
    <x v="4"/>
    <x v="570"/>
    <x v="7"/>
    <x v="0"/>
    <x v="0"/>
    <n v="724.28"/>
  </r>
  <r>
    <s v="ORD200571"/>
    <x v="432"/>
    <x v="571"/>
    <x v="2"/>
    <x v="2"/>
    <n v="214.08"/>
    <x v="369"/>
    <x v="3"/>
    <x v="2"/>
    <x v="571"/>
    <x v="7"/>
    <x v="3"/>
    <x v="4"/>
    <n v="214.08"/>
  </r>
  <r>
    <s v="ORD200572"/>
    <x v="433"/>
    <x v="572"/>
    <x v="4"/>
    <x v="2"/>
    <n v="70.319999999999993"/>
    <x v="312"/>
    <x v="4"/>
    <x v="2"/>
    <x v="572"/>
    <x v="4"/>
    <x v="3"/>
    <x v="3"/>
    <n v="70.319999999999993"/>
  </r>
  <r>
    <s v="ORD200573"/>
    <x v="261"/>
    <x v="573"/>
    <x v="3"/>
    <x v="0"/>
    <n v="421.42"/>
    <x v="101"/>
    <x v="0"/>
    <x v="1"/>
    <x v="573"/>
    <x v="0"/>
    <x v="2"/>
    <x v="0"/>
    <n v="2107.1"/>
  </r>
  <r>
    <s v="ORD200574"/>
    <x v="434"/>
    <x v="574"/>
    <x v="3"/>
    <x v="0"/>
    <n v="384.69"/>
    <x v="3"/>
    <x v="2"/>
    <x v="4"/>
    <x v="574"/>
    <x v="5"/>
    <x v="1"/>
    <x v="2"/>
    <n v="1923.45"/>
  </r>
  <r>
    <s v="ORD200575"/>
    <x v="323"/>
    <x v="575"/>
    <x v="3"/>
    <x v="0"/>
    <n v="448.15"/>
    <x v="415"/>
    <x v="3"/>
    <x v="2"/>
    <x v="575"/>
    <x v="0"/>
    <x v="0"/>
    <x v="4"/>
    <n v="2240.75"/>
  </r>
  <r>
    <s v="ORD200576"/>
    <x v="382"/>
    <x v="576"/>
    <x v="5"/>
    <x v="0"/>
    <n v="79.08"/>
    <x v="300"/>
    <x v="4"/>
    <x v="4"/>
    <x v="576"/>
    <x v="2"/>
    <x v="2"/>
    <x v="3"/>
    <n v="395.4"/>
  </r>
  <r>
    <s v="ORD200577"/>
    <x v="55"/>
    <x v="577"/>
    <x v="2"/>
    <x v="3"/>
    <n v="185.41"/>
    <x v="78"/>
    <x v="1"/>
    <x v="2"/>
    <x v="577"/>
    <x v="6"/>
    <x v="3"/>
    <x v="4"/>
    <n v="741.64"/>
  </r>
  <r>
    <s v="ORD200578"/>
    <x v="84"/>
    <x v="578"/>
    <x v="0"/>
    <x v="0"/>
    <n v="566.07000000000005"/>
    <x v="20"/>
    <x v="2"/>
    <x v="3"/>
    <x v="578"/>
    <x v="5"/>
    <x v="0"/>
    <x v="0"/>
    <n v="2830.35"/>
  </r>
  <r>
    <s v="ORD200579"/>
    <x v="243"/>
    <x v="579"/>
    <x v="2"/>
    <x v="1"/>
    <n v="187.88"/>
    <x v="269"/>
    <x v="1"/>
    <x v="0"/>
    <x v="579"/>
    <x v="4"/>
    <x v="3"/>
    <x v="3"/>
    <n v="375.76"/>
  </r>
  <r>
    <s v="ORD200580"/>
    <x v="414"/>
    <x v="580"/>
    <x v="0"/>
    <x v="1"/>
    <n v="255.99"/>
    <x v="416"/>
    <x v="2"/>
    <x v="3"/>
    <x v="580"/>
    <x v="4"/>
    <x v="0"/>
    <x v="0"/>
    <n v="511.98"/>
  </r>
  <r>
    <s v="ORD200581"/>
    <x v="435"/>
    <x v="581"/>
    <x v="5"/>
    <x v="2"/>
    <n v="627.34"/>
    <x v="15"/>
    <x v="1"/>
    <x v="3"/>
    <x v="581"/>
    <x v="9"/>
    <x v="2"/>
    <x v="1"/>
    <n v="627.34"/>
  </r>
  <r>
    <s v="ORD200582"/>
    <x v="436"/>
    <x v="582"/>
    <x v="2"/>
    <x v="4"/>
    <n v="474.14"/>
    <x v="317"/>
    <x v="3"/>
    <x v="0"/>
    <x v="582"/>
    <x v="2"/>
    <x v="3"/>
    <x v="4"/>
    <n v="1422.42"/>
  </r>
  <r>
    <s v="ORD200583"/>
    <x v="437"/>
    <x v="583"/>
    <x v="3"/>
    <x v="4"/>
    <n v="154.37"/>
    <x v="31"/>
    <x v="3"/>
    <x v="3"/>
    <x v="583"/>
    <x v="4"/>
    <x v="2"/>
    <x v="0"/>
    <n v="463.11"/>
  </r>
  <r>
    <s v="ORD200584"/>
    <x v="438"/>
    <x v="584"/>
    <x v="3"/>
    <x v="3"/>
    <n v="145.05000000000001"/>
    <x v="417"/>
    <x v="1"/>
    <x v="3"/>
    <x v="584"/>
    <x v="5"/>
    <x v="0"/>
    <x v="4"/>
    <n v="580.20000000000005"/>
  </r>
  <r>
    <s v="ORD200585"/>
    <x v="38"/>
    <x v="585"/>
    <x v="2"/>
    <x v="3"/>
    <n v="67.08"/>
    <x v="299"/>
    <x v="4"/>
    <x v="2"/>
    <x v="585"/>
    <x v="2"/>
    <x v="3"/>
    <x v="4"/>
    <n v="268.32"/>
  </r>
  <r>
    <s v="ORD200586"/>
    <x v="337"/>
    <x v="586"/>
    <x v="0"/>
    <x v="2"/>
    <n v="522.08000000000004"/>
    <x v="418"/>
    <x v="3"/>
    <x v="2"/>
    <x v="586"/>
    <x v="3"/>
    <x v="1"/>
    <x v="1"/>
    <n v="522.08000000000004"/>
  </r>
  <r>
    <s v="ORD200587"/>
    <x v="439"/>
    <x v="587"/>
    <x v="0"/>
    <x v="0"/>
    <n v="514.6"/>
    <x v="419"/>
    <x v="3"/>
    <x v="3"/>
    <x v="587"/>
    <x v="8"/>
    <x v="1"/>
    <x v="0"/>
    <n v="2573"/>
  </r>
  <r>
    <s v="ORD200588"/>
    <x v="440"/>
    <x v="588"/>
    <x v="0"/>
    <x v="3"/>
    <n v="577.82000000000005"/>
    <x v="55"/>
    <x v="2"/>
    <x v="3"/>
    <x v="588"/>
    <x v="6"/>
    <x v="2"/>
    <x v="4"/>
    <n v="2311.2800000000002"/>
  </r>
  <r>
    <s v="ORD200589"/>
    <x v="441"/>
    <x v="589"/>
    <x v="5"/>
    <x v="1"/>
    <n v="500.8"/>
    <x v="420"/>
    <x v="4"/>
    <x v="3"/>
    <x v="589"/>
    <x v="1"/>
    <x v="1"/>
    <x v="1"/>
    <n v="1001.6"/>
  </r>
  <r>
    <s v="ORD200590"/>
    <x v="442"/>
    <x v="590"/>
    <x v="4"/>
    <x v="1"/>
    <n v="461.13"/>
    <x v="421"/>
    <x v="3"/>
    <x v="2"/>
    <x v="590"/>
    <x v="4"/>
    <x v="2"/>
    <x v="2"/>
    <n v="922.26"/>
  </r>
  <r>
    <s v="ORD200591"/>
    <x v="249"/>
    <x v="591"/>
    <x v="5"/>
    <x v="2"/>
    <n v="605.28"/>
    <x v="422"/>
    <x v="3"/>
    <x v="0"/>
    <x v="591"/>
    <x v="1"/>
    <x v="1"/>
    <x v="1"/>
    <n v="605.28"/>
  </r>
  <r>
    <s v="ORD200592"/>
    <x v="234"/>
    <x v="592"/>
    <x v="1"/>
    <x v="4"/>
    <n v="204.27"/>
    <x v="393"/>
    <x v="1"/>
    <x v="2"/>
    <x v="592"/>
    <x v="4"/>
    <x v="2"/>
    <x v="4"/>
    <n v="612.81000000000006"/>
  </r>
  <r>
    <s v="ORD200593"/>
    <x v="443"/>
    <x v="593"/>
    <x v="0"/>
    <x v="2"/>
    <n v="489.8"/>
    <x v="125"/>
    <x v="3"/>
    <x v="0"/>
    <x v="593"/>
    <x v="4"/>
    <x v="1"/>
    <x v="3"/>
    <n v="489.8"/>
  </r>
  <r>
    <s v="ORD200594"/>
    <x v="444"/>
    <x v="594"/>
    <x v="1"/>
    <x v="0"/>
    <n v="72.64"/>
    <x v="128"/>
    <x v="2"/>
    <x v="1"/>
    <x v="594"/>
    <x v="0"/>
    <x v="2"/>
    <x v="2"/>
    <n v="363.2"/>
  </r>
  <r>
    <s v="ORD200595"/>
    <x v="445"/>
    <x v="595"/>
    <x v="4"/>
    <x v="1"/>
    <n v="385.16"/>
    <x v="423"/>
    <x v="1"/>
    <x v="4"/>
    <x v="595"/>
    <x v="0"/>
    <x v="0"/>
    <x v="2"/>
    <n v="770.32"/>
  </r>
  <r>
    <s v="ORD200596"/>
    <x v="439"/>
    <x v="596"/>
    <x v="6"/>
    <x v="4"/>
    <n v="606.41"/>
    <x v="424"/>
    <x v="0"/>
    <x v="2"/>
    <x v="596"/>
    <x v="0"/>
    <x v="1"/>
    <x v="3"/>
    <n v="1819.23"/>
  </r>
  <r>
    <s v="ORD200597"/>
    <x v="446"/>
    <x v="597"/>
    <x v="6"/>
    <x v="1"/>
    <n v="211.82"/>
    <x v="425"/>
    <x v="3"/>
    <x v="1"/>
    <x v="597"/>
    <x v="4"/>
    <x v="3"/>
    <x v="2"/>
    <n v="423.64"/>
  </r>
  <r>
    <s v="ORD200598"/>
    <x v="447"/>
    <x v="598"/>
    <x v="6"/>
    <x v="0"/>
    <n v="495.35"/>
    <x v="283"/>
    <x v="2"/>
    <x v="4"/>
    <x v="598"/>
    <x v="3"/>
    <x v="2"/>
    <x v="3"/>
    <n v="2476.75"/>
  </r>
  <r>
    <s v="ORD200599"/>
    <x v="30"/>
    <x v="599"/>
    <x v="3"/>
    <x v="4"/>
    <n v="556.99"/>
    <x v="329"/>
    <x v="1"/>
    <x v="1"/>
    <x v="599"/>
    <x v="4"/>
    <x v="1"/>
    <x v="3"/>
    <n v="1670.97"/>
  </r>
  <r>
    <s v="ORD200600"/>
    <x v="68"/>
    <x v="600"/>
    <x v="4"/>
    <x v="2"/>
    <n v="72.31"/>
    <x v="223"/>
    <x v="3"/>
    <x v="1"/>
    <x v="600"/>
    <x v="9"/>
    <x v="1"/>
    <x v="3"/>
    <n v="72.31"/>
  </r>
  <r>
    <s v="ORD200601"/>
    <x v="276"/>
    <x v="601"/>
    <x v="0"/>
    <x v="0"/>
    <n v="24.82"/>
    <x v="426"/>
    <x v="2"/>
    <x v="0"/>
    <x v="601"/>
    <x v="8"/>
    <x v="2"/>
    <x v="1"/>
    <n v="124.1"/>
  </r>
  <r>
    <s v="ORD200602"/>
    <x v="448"/>
    <x v="482"/>
    <x v="2"/>
    <x v="3"/>
    <n v="26.04"/>
    <x v="372"/>
    <x v="1"/>
    <x v="4"/>
    <x v="602"/>
    <x v="3"/>
    <x v="0"/>
    <x v="0"/>
    <n v="104.16"/>
  </r>
  <r>
    <s v="ORD200603"/>
    <x v="449"/>
    <x v="602"/>
    <x v="2"/>
    <x v="2"/>
    <n v="657.07"/>
    <x v="427"/>
    <x v="4"/>
    <x v="4"/>
    <x v="603"/>
    <x v="4"/>
    <x v="0"/>
    <x v="4"/>
    <n v="657.07"/>
  </r>
  <r>
    <s v="ORD200604"/>
    <x v="450"/>
    <x v="603"/>
    <x v="3"/>
    <x v="4"/>
    <n v="32.619999999999997"/>
    <x v="251"/>
    <x v="0"/>
    <x v="3"/>
    <x v="604"/>
    <x v="5"/>
    <x v="2"/>
    <x v="3"/>
    <n v="97.859999999999985"/>
  </r>
  <r>
    <s v="ORD200605"/>
    <x v="451"/>
    <x v="604"/>
    <x v="0"/>
    <x v="1"/>
    <n v="228.91"/>
    <x v="428"/>
    <x v="0"/>
    <x v="0"/>
    <x v="605"/>
    <x v="4"/>
    <x v="0"/>
    <x v="1"/>
    <n v="457.82"/>
  </r>
  <r>
    <s v="ORD200606"/>
    <x v="119"/>
    <x v="605"/>
    <x v="5"/>
    <x v="4"/>
    <n v="274.75"/>
    <x v="204"/>
    <x v="4"/>
    <x v="1"/>
    <x v="606"/>
    <x v="1"/>
    <x v="0"/>
    <x v="4"/>
    <n v="824.25"/>
  </r>
  <r>
    <s v="ORD200607"/>
    <x v="133"/>
    <x v="606"/>
    <x v="4"/>
    <x v="3"/>
    <n v="634.04999999999995"/>
    <x v="429"/>
    <x v="4"/>
    <x v="0"/>
    <x v="607"/>
    <x v="5"/>
    <x v="0"/>
    <x v="4"/>
    <n v="2536.1999999999998"/>
  </r>
  <r>
    <s v="ORD200608"/>
    <x v="25"/>
    <x v="607"/>
    <x v="5"/>
    <x v="0"/>
    <n v="543.16"/>
    <x v="430"/>
    <x v="1"/>
    <x v="1"/>
    <x v="608"/>
    <x v="5"/>
    <x v="0"/>
    <x v="0"/>
    <n v="2715.8"/>
  </r>
  <r>
    <s v="ORD200609"/>
    <x v="109"/>
    <x v="608"/>
    <x v="3"/>
    <x v="4"/>
    <n v="449.13"/>
    <x v="431"/>
    <x v="4"/>
    <x v="2"/>
    <x v="609"/>
    <x v="3"/>
    <x v="3"/>
    <x v="1"/>
    <n v="1347.39"/>
  </r>
  <r>
    <s v="ORD200610"/>
    <x v="452"/>
    <x v="609"/>
    <x v="6"/>
    <x v="0"/>
    <n v="389.62"/>
    <x v="50"/>
    <x v="4"/>
    <x v="2"/>
    <x v="610"/>
    <x v="0"/>
    <x v="1"/>
    <x v="3"/>
    <n v="1948.1"/>
  </r>
  <r>
    <s v="ORD200611"/>
    <x v="453"/>
    <x v="610"/>
    <x v="6"/>
    <x v="2"/>
    <n v="305.17"/>
    <x v="425"/>
    <x v="3"/>
    <x v="2"/>
    <x v="611"/>
    <x v="1"/>
    <x v="3"/>
    <x v="1"/>
    <n v="305.17"/>
  </r>
  <r>
    <s v="ORD200612"/>
    <x v="454"/>
    <x v="611"/>
    <x v="3"/>
    <x v="4"/>
    <n v="445.12"/>
    <x v="268"/>
    <x v="3"/>
    <x v="1"/>
    <x v="612"/>
    <x v="2"/>
    <x v="2"/>
    <x v="4"/>
    <n v="1335.36"/>
  </r>
  <r>
    <s v="ORD200613"/>
    <x v="36"/>
    <x v="612"/>
    <x v="5"/>
    <x v="1"/>
    <n v="230.36"/>
    <x v="432"/>
    <x v="1"/>
    <x v="2"/>
    <x v="613"/>
    <x v="4"/>
    <x v="3"/>
    <x v="2"/>
    <n v="460.72"/>
  </r>
  <r>
    <s v="ORD200614"/>
    <x v="455"/>
    <x v="613"/>
    <x v="1"/>
    <x v="2"/>
    <n v="96.81"/>
    <x v="111"/>
    <x v="3"/>
    <x v="1"/>
    <x v="614"/>
    <x v="1"/>
    <x v="2"/>
    <x v="1"/>
    <n v="96.81"/>
  </r>
  <r>
    <s v="ORD200615"/>
    <x v="456"/>
    <x v="614"/>
    <x v="0"/>
    <x v="0"/>
    <n v="460.14"/>
    <x v="251"/>
    <x v="2"/>
    <x v="2"/>
    <x v="615"/>
    <x v="8"/>
    <x v="3"/>
    <x v="3"/>
    <n v="2300.6999999999998"/>
  </r>
  <r>
    <s v="ORD200616"/>
    <x v="457"/>
    <x v="615"/>
    <x v="2"/>
    <x v="4"/>
    <n v="601.6"/>
    <x v="433"/>
    <x v="2"/>
    <x v="1"/>
    <x v="616"/>
    <x v="0"/>
    <x v="0"/>
    <x v="3"/>
    <n v="1804.8"/>
  </r>
  <r>
    <s v="ORD200617"/>
    <x v="458"/>
    <x v="616"/>
    <x v="2"/>
    <x v="4"/>
    <n v="184.47"/>
    <x v="434"/>
    <x v="1"/>
    <x v="1"/>
    <x v="617"/>
    <x v="4"/>
    <x v="2"/>
    <x v="1"/>
    <n v="553.41"/>
  </r>
  <r>
    <s v="ORD200618"/>
    <x v="459"/>
    <x v="617"/>
    <x v="2"/>
    <x v="2"/>
    <n v="411.34"/>
    <x v="435"/>
    <x v="0"/>
    <x v="2"/>
    <x v="618"/>
    <x v="3"/>
    <x v="2"/>
    <x v="0"/>
    <n v="411.34"/>
  </r>
  <r>
    <s v="ORD200619"/>
    <x v="424"/>
    <x v="618"/>
    <x v="5"/>
    <x v="2"/>
    <n v="532.89"/>
    <x v="373"/>
    <x v="3"/>
    <x v="4"/>
    <x v="619"/>
    <x v="7"/>
    <x v="2"/>
    <x v="1"/>
    <n v="532.89"/>
  </r>
  <r>
    <s v="ORD200620"/>
    <x v="460"/>
    <x v="619"/>
    <x v="2"/>
    <x v="4"/>
    <n v="136.34"/>
    <x v="436"/>
    <x v="0"/>
    <x v="2"/>
    <x v="620"/>
    <x v="2"/>
    <x v="0"/>
    <x v="1"/>
    <n v="409.02"/>
  </r>
  <r>
    <s v="ORD200621"/>
    <x v="356"/>
    <x v="620"/>
    <x v="1"/>
    <x v="0"/>
    <n v="476.01"/>
    <x v="72"/>
    <x v="2"/>
    <x v="3"/>
    <x v="621"/>
    <x v="0"/>
    <x v="3"/>
    <x v="4"/>
    <n v="2380.0500000000002"/>
  </r>
  <r>
    <s v="ORD200622"/>
    <x v="461"/>
    <x v="621"/>
    <x v="6"/>
    <x v="0"/>
    <n v="236.38"/>
    <x v="35"/>
    <x v="2"/>
    <x v="2"/>
    <x v="622"/>
    <x v="0"/>
    <x v="2"/>
    <x v="3"/>
    <n v="1181.9000000000001"/>
  </r>
  <r>
    <s v="ORD200623"/>
    <x v="379"/>
    <x v="622"/>
    <x v="4"/>
    <x v="4"/>
    <n v="396"/>
    <x v="437"/>
    <x v="3"/>
    <x v="1"/>
    <x v="623"/>
    <x v="4"/>
    <x v="1"/>
    <x v="0"/>
    <n v="1188"/>
  </r>
  <r>
    <s v="ORD200624"/>
    <x v="462"/>
    <x v="623"/>
    <x v="2"/>
    <x v="0"/>
    <n v="341.96"/>
    <x v="300"/>
    <x v="0"/>
    <x v="3"/>
    <x v="624"/>
    <x v="5"/>
    <x v="2"/>
    <x v="2"/>
    <n v="1709.8"/>
  </r>
  <r>
    <s v="ORD200625"/>
    <x v="463"/>
    <x v="624"/>
    <x v="2"/>
    <x v="2"/>
    <n v="672.89"/>
    <x v="438"/>
    <x v="2"/>
    <x v="4"/>
    <x v="625"/>
    <x v="9"/>
    <x v="3"/>
    <x v="2"/>
    <n v="672.89"/>
  </r>
  <r>
    <s v="ORD200626"/>
    <x v="417"/>
    <x v="625"/>
    <x v="2"/>
    <x v="1"/>
    <n v="657.48"/>
    <x v="335"/>
    <x v="1"/>
    <x v="0"/>
    <x v="626"/>
    <x v="3"/>
    <x v="0"/>
    <x v="1"/>
    <n v="1314.96"/>
  </r>
  <r>
    <s v="ORD200627"/>
    <x v="464"/>
    <x v="626"/>
    <x v="3"/>
    <x v="4"/>
    <n v="498.68"/>
    <x v="402"/>
    <x v="1"/>
    <x v="2"/>
    <x v="627"/>
    <x v="4"/>
    <x v="1"/>
    <x v="2"/>
    <n v="1496.04"/>
  </r>
  <r>
    <s v="ORD200628"/>
    <x v="465"/>
    <x v="627"/>
    <x v="4"/>
    <x v="0"/>
    <n v="558.63"/>
    <x v="439"/>
    <x v="4"/>
    <x v="4"/>
    <x v="628"/>
    <x v="2"/>
    <x v="1"/>
    <x v="1"/>
    <n v="2793.15"/>
  </r>
  <r>
    <s v="ORD200629"/>
    <x v="466"/>
    <x v="628"/>
    <x v="1"/>
    <x v="4"/>
    <n v="19.73"/>
    <x v="440"/>
    <x v="1"/>
    <x v="4"/>
    <x v="629"/>
    <x v="1"/>
    <x v="2"/>
    <x v="1"/>
    <n v="59.19"/>
  </r>
  <r>
    <s v="ORD200630"/>
    <x v="467"/>
    <x v="629"/>
    <x v="0"/>
    <x v="0"/>
    <n v="248.84"/>
    <x v="441"/>
    <x v="0"/>
    <x v="1"/>
    <x v="630"/>
    <x v="8"/>
    <x v="2"/>
    <x v="0"/>
    <n v="1244.2"/>
  </r>
  <r>
    <s v="ORD200631"/>
    <x v="169"/>
    <x v="630"/>
    <x v="3"/>
    <x v="4"/>
    <n v="46.11"/>
    <x v="235"/>
    <x v="3"/>
    <x v="2"/>
    <x v="631"/>
    <x v="3"/>
    <x v="3"/>
    <x v="1"/>
    <n v="138.33000000000001"/>
  </r>
  <r>
    <s v="ORD200632"/>
    <x v="468"/>
    <x v="631"/>
    <x v="5"/>
    <x v="0"/>
    <n v="678.16"/>
    <x v="219"/>
    <x v="3"/>
    <x v="3"/>
    <x v="632"/>
    <x v="0"/>
    <x v="3"/>
    <x v="3"/>
    <n v="3390.8"/>
  </r>
  <r>
    <s v="ORD200633"/>
    <x v="294"/>
    <x v="632"/>
    <x v="5"/>
    <x v="0"/>
    <n v="601.72"/>
    <x v="318"/>
    <x v="3"/>
    <x v="1"/>
    <x v="633"/>
    <x v="3"/>
    <x v="3"/>
    <x v="0"/>
    <n v="3008.6"/>
  </r>
  <r>
    <s v="ORD200634"/>
    <x v="313"/>
    <x v="633"/>
    <x v="4"/>
    <x v="1"/>
    <n v="259.32"/>
    <x v="442"/>
    <x v="3"/>
    <x v="3"/>
    <x v="634"/>
    <x v="7"/>
    <x v="3"/>
    <x v="1"/>
    <n v="518.64"/>
  </r>
  <r>
    <s v="ORD200635"/>
    <x v="141"/>
    <x v="634"/>
    <x v="3"/>
    <x v="4"/>
    <n v="63.68"/>
    <x v="48"/>
    <x v="4"/>
    <x v="2"/>
    <x v="635"/>
    <x v="5"/>
    <x v="2"/>
    <x v="3"/>
    <n v="191.04"/>
  </r>
  <r>
    <s v="ORD200636"/>
    <x v="469"/>
    <x v="635"/>
    <x v="5"/>
    <x v="3"/>
    <n v="371.07"/>
    <x v="154"/>
    <x v="4"/>
    <x v="1"/>
    <x v="636"/>
    <x v="0"/>
    <x v="3"/>
    <x v="3"/>
    <n v="1484.28"/>
  </r>
  <r>
    <s v="ORD200637"/>
    <x v="470"/>
    <x v="636"/>
    <x v="3"/>
    <x v="3"/>
    <n v="306.35000000000002"/>
    <x v="443"/>
    <x v="3"/>
    <x v="0"/>
    <x v="637"/>
    <x v="0"/>
    <x v="3"/>
    <x v="1"/>
    <n v="1225.4000000000001"/>
  </r>
  <r>
    <s v="ORD200638"/>
    <x v="3"/>
    <x v="637"/>
    <x v="2"/>
    <x v="3"/>
    <n v="578.27"/>
    <x v="444"/>
    <x v="1"/>
    <x v="3"/>
    <x v="638"/>
    <x v="6"/>
    <x v="3"/>
    <x v="2"/>
    <n v="2313.08"/>
  </r>
  <r>
    <s v="ORD200639"/>
    <x v="325"/>
    <x v="638"/>
    <x v="3"/>
    <x v="2"/>
    <n v="529.19000000000005"/>
    <x v="362"/>
    <x v="4"/>
    <x v="1"/>
    <x v="639"/>
    <x v="3"/>
    <x v="2"/>
    <x v="1"/>
    <n v="529.19000000000005"/>
  </r>
  <r>
    <s v="ORD200640"/>
    <x v="2"/>
    <x v="639"/>
    <x v="3"/>
    <x v="1"/>
    <n v="587.49"/>
    <x v="97"/>
    <x v="3"/>
    <x v="2"/>
    <x v="640"/>
    <x v="5"/>
    <x v="0"/>
    <x v="1"/>
    <n v="1174.98"/>
  </r>
  <r>
    <s v="ORD200641"/>
    <x v="471"/>
    <x v="640"/>
    <x v="4"/>
    <x v="3"/>
    <n v="567.57000000000005"/>
    <x v="217"/>
    <x v="0"/>
    <x v="4"/>
    <x v="641"/>
    <x v="6"/>
    <x v="3"/>
    <x v="4"/>
    <n v="2270.2800000000002"/>
  </r>
  <r>
    <s v="ORD200642"/>
    <x v="472"/>
    <x v="641"/>
    <x v="3"/>
    <x v="0"/>
    <n v="85.22"/>
    <x v="445"/>
    <x v="2"/>
    <x v="1"/>
    <x v="642"/>
    <x v="0"/>
    <x v="1"/>
    <x v="2"/>
    <n v="426.1"/>
  </r>
  <r>
    <s v="ORD200643"/>
    <x v="360"/>
    <x v="642"/>
    <x v="5"/>
    <x v="2"/>
    <n v="438.37"/>
    <x v="97"/>
    <x v="4"/>
    <x v="1"/>
    <x v="643"/>
    <x v="4"/>
    <x v="0"/>
    <x v="1"/>
    <n v="438.37"/>
  </r>
  <r>
    <s v="ORD200644"/>
    <x v="375"/>
    <x v="643"/>
    <x v="3"/>
    <x v="1"/>
    <n v="366.23"/>
    <x v="446"/>
    <x v="4"/>
    <x v="0"/>
    <x v="644"/>
    <x v="7"/>
    <x v="3"/>
    <x v="2"/>
    <n v="732.46"/>
  </r>
  <r>
    <s v="ORD200645"/>
    <x v="315"/>
    <x v="644"/>
    <x v="5"/>
    <x v="1"/>
    <n v="150.05000000000001"/>
    <x v="115"/>
    <x v="2"/>
    <x v="1"/>
    <x v="645"/>
    <x v="4"/>
    <x v="0"/>
    <x v="3"/>
    <n v="300.10000000000002"/>
  </r>
  <r>
    <s v="ORD200646"/>
    <x v="122"/>
    <x v="645"/>
    <x v="3"/>
    <x v="3"/>
    <n v="498.51"/>
    <x v="447"/>
    <x v="0"/>
    <x v="0"/>
    <x v="646"/>
    <x v="4"/>
    <x v="0"/>
    <x v="4"/>
    <n v="1994.04"/>
  </r>
  <r>
    <s v="ORD200647"/>
    <x v="473"/>
    <x v="646"/>
    <x v="6"/>
    <x v="4"/>
    <n v="339.39"/>
    <x v="148"/>
    <x v="4"/>
    <x v="2"/>
    <x v="647"/>
    <x v="0"/>
    <x v="1"/>
    <x v="4"/>
    <n v="1018.17"/>
  </r>
  <r>
    <s v="ORD200648"/>
    <x v="474"/>
    <x v="647"/>
    <x v="0"/>
    <x v="1"/>
    <n v="575.83000000000004"/>
    <x v="448"/>
    <x v="1"/>
    <x v="3"/>
    <x v="648"/>
    <x v="1"/>
    <x v="3"/>
    <x v="1"/>
    <n v="1151.6600000000001"/>
  </r>
  <r>
    <s v="ORD200649"/>
    <x v="475"/>
    <x v="648"/>
    <x v="0"/>
    <x v="1"/>
    <n v="642.98"/>
    <x v="222"/>
    <x v="0"/>
    <x v="2"/>
    <x v="649"/>
    <x v="0"/>
    <x v="1"/>
    <x v="2"/>
    <n v="1285.96"/>
  </r>
  <r>
    <s v="ORD200650"/>
    <x v="419"/>
    <x v="649"/>
    <x v="6"/>
    <x v="1"/>
    <n v="372.23"/>
    <x v="449"/>
    <x v="3"/>
    <x v="3"/>
    <x v="650"/>
    <x v="0"/>
    <x v="0"/>
    <x v="2"/>
    <n v="744.46"/>
  </r>
  <r>
    <s v="ORD200651"/>
    <x v="476"/>
    <x v="650"/>
    <x v="3"/>
    <x v="4"/>
    <n v="646.34"/>
    <x v="174"/>
    <x v="0"/>
    <x v="4"/>
    <x v="651"/>
    <x v="3"/>
    <x v="2"/>
    <x v="4"/>
    <n v="1939.02"/>
  </r>
  <r>
    <s v="ORD200652"/>
    <x v="477"/>
    <x v="651"/>
    <x v="3"/>
    <x v="0"/>
    <n v="341.84"/>
    <x v="450"/>
    <x v="1"/>
    <x v="0"/>
    <x v="652"/>
    <x v="2"/>
    <x v="1"/>
    <x v="0"/>
    <n v="1709.2"/>
  </r>
  <r>
    <s v="ORD200653"/>
    <x v="402"/>
    <x v="652"/>
    <x v="4"/>
    <x v="4"/>
    <n v="690.3"/>
    <x v="300"/>
    <x v="2"/>
    <x v="0"/>
    <x v="653"/>
    <x v="5"/>
    <x v="3"/>
    <x v="4"/>
    <n v="2070.9"/>
  </r>
  <r>
    <s v="ORD200654"/>
    <x v="439"/>
    <x v="653"/>
    <x v="2"/>
    <x v="4"/>
    <n v="382.37"/>
    <x v="451"/>
    <x v="0"/>
    <x v="2"/>
    <x v="654"/>
    <x v="2"/>
    <x v="2"/>
    <x v="0"/>
    <n v="1147.1099999999999"/>
  </r>
  <r>
    <s v="ORD200655"/>
    <x v="369"/>
    <x v="654"/>
    <x v="3"/>
    <x v="1"/>
    <n v="132.6"/>
    <x v="348"/>
    <x v="0"/>
    <x v="1"/>
    <x v="655"/>
    <x v="4"/>
    <x v="3"/>
    <x v="2"/>
    <n v="265.2"/>
  </r>
  <r>
    <s v="ORD200656"/>
    <x v="343"/>
    <x v="655"/>
    <x v="0"/>
    <x v="1"/>
    <n v="189.06"/>
    <x v="452"/>
    <x v="3"/>
    <x v="0"/>
    <x v="656"/>
    <x v="0"/>
    <x v="0"/>
    <x v="3"/>
    <n v="378.12"/>
  </r>
  <r>
    <s v="ORD200657"/>
    <x v="478"/>
    <x v="656"/>
    <x v="2"/>
    <x v="3"/>
    <n v="87.79"/>
    <x v="275"/>
    <x v="4"/>
    <x v="1"/>
    <x v="657"/>
    <x v="5"/>
    <x v="1"/>
    <x v="0"/>
    <n v="351.16"/>
  </r>
  <r>
    <s v="ORD200658"/>
    <x v="479"/>
    <x v="657"/>
    <x v="4"/>
    <x v="1"/>
    <n v="46.36"/>
    <x v="247"/>
    <x v="3"/>
    <x v="2"/>
    <x v="658"/>
    <x v="4"/>
    <x v="0"/>
    <x v="4"/>
    <n v="92.72"/>
  </r>
  <r>
    <s v="ORD200659"/>
    <x v="480"/>
    <x v="658"/>
    <x v="1"/>
    <x v="1"/>
    <n v="642.04"/>
    <x v="403"/>
    <x v="3"/>
    <x v="3"/>
    <x v="659"/>
    <x v="4"/>
    <x v="3"/>
    <x v="2"/>
    <n v="1284.08"/>
  </r>
  <r>
    <s v="ORD200660"/>
    <x v="481"/>
    <x v="659"/>
    <x v="3"/>
    <x v="1"/>
    <n v="651.57000000000005"/>
    <x v="133"/>
    <x v="0"/>
    <x v="0"/>
    <x v="660"/>
    <x v="0"/>
    <x v="3"/>
    <x v="3"/>
    <n v="1303.1400000000001"/>
  </r>
  <r>
    <s v="ORD200661"/>
    <x v="252"/>
    <x v="660"/>
    <x v="2"/>
    <x v="4"/>
    <n v="424.89"/>
    <x v="453"/>
    <x v="0"/>
    <x v="1"/>
    <x v="661"/>
    <x v="5"/>
    <x v="1"/>
    <x v="4"/>
    <n v="1274.67"/>
  </r>
  <r>
    <s v="ORD200662"/>
    <x v="423"/>
    <x v="661"/>
    <x v="5"/>
    <x v="4"/>
    <n v="438.89"/>
    <x v="454"/>
    <x v="4"/>
    <x v="2"/>
    <x v="662"/>
    <x v="1"/>
    <x v="2"/>
    <x v="3"/>
    <n v="1316.67"/>
  </r>
  <r>
    <s v="ORD200663"/>
    <x v="116"/>
    <x v="662"/>
    <x v="0"/>
    <x v="2"/>
    <n v="72.599999999999994"/>
    <x v="390"/>
    <x v="0"/>
    <x v="1"/>
    <x v="663"/>
    <x v="5"/>
    <x v="1"/>
    <x v="0"/>
    <n v="72.599999999999994"/>
  </r>
  <r>
    <s v="ORD200664"/>
    <x v="36"/>
    <x v="236"/>
    <x v="5"/>
    <x v="3"/>
    <n v="194.75"/>
    <x v="455"/>
    <x v="4"/>
    <x v="0"/>
    <x v="664"/>
    <x v="3"/>
    <x v="2"/>
    <x v="3"/>
    <n v="779"/>
  </r>
  <r>
    <s v="ORD200665"/>
    <x v="468"/>
    <x v="663"/>
    <x v="2"/>
    <x v="3"/>
    <n v="231.26"/>
    <x v="456"/>
    <x v="1"/>
    <x v="0"/>
    <x v="665"/>
    <x v="5"/>
    <x v="3"/>
    <x v="4"/>
    <n v="925.04"/>
  </r>
  <r>
    <s v="ORD200666"/>
    <x v="169"/>
    <x v="664"/>
    <x v="0"/>
    <x v="3"/>
    <n v="327.12"/>
    <x v="430"/>
    <x v="2"/>
    <x v="1"/>
    <x v="666"/>
    <x v="4"/>
    <x v="2"/>
    <x v="2"/>
    <n v="1308.48"/>
  </r>
  <r>
    <s v="ORD200667"/>
    <x v="71"/>
    <x v="665"/>
    <x v="5"/>
    <x v="2"/>
    <n v="466.42"/>
    <x v="180"/>
    <x v="3"/>
    <x v="4"/>
    <x v="667"/>
    <x v="3"/>
    <x v="0"/>
    <x v="2"/>
    <n v="466.42"/>
  </r>
  <r>
    <s v="ORD200668"/>
    <x v="482"/>
    <x v="666"/>
    <x v="0"/>
    <x v="1"/>
    <n v="253.67"/>
    <x v="139"/>
    <x v="4"/>
    <x v="2"/>
    <x v="668"/>
    <x v="1"/>
    <x v="3"/>
    <x v="3"/>
    <n v="507.34"/>
  </r>
  <r>
    <s v="ORD200669"/>
    <x v="483"/>
    <x v="667"/>
    <x v="6"/>
    <x v="2"/>
    <n v="257"/>
    <x v="457"/>
    <x v="0"/>
    <x v="1"/>
    <x v="669"/>
    <x v="3"/>
    <x v="2"/>
    <x v="1"/>
    <n v="257"/>
  </r>
  <r>
    <s v="ORD200670"/>
    <x v="171"/>
    <x v="668"/>
    <x v="6"/>
    <x v="3"/>
    <n v="539.20000000000005"/>
    <x v="300"/>
    <x v="2"/>
    <x v="4"/>
    <x v="670"/>
    <x v="2"/>
    <x v="1"/>
    <x v="4"/>
    <n v="2156.8000000000002"/>
  </r>
  <r>
    <s v="ORD200671"/>
    <x v="484"/>
    <x v="669"/>
    <x v="3"/>
    <x v="0"/>
    <n v="50.74"/>
    <x v="144"/>
    <x v="3"/>
    <x v="1"/>
    <x v="671"/>
    <x v="0"/>
    <x v="3"/>
    <x v="4"/>
    <n v="253.7"/>
  </r>
  <r>
    <s v="ORD200672"/>
    <x v="221"/>
    <x v="670"/>
    <x v="1"/>
    <x v="1"/>
    <n v="624.16"/>
    <x v="433"/>
    <x v="0"/>
    <x v="0"/>
    <x v="672"/>
    <x v="7"/>
    <x v="0"/>
    <x v="0"/>
    <n v="1248.32"/>
  </r>
  <r>
    <s v="ORD200673"/>
    <x v="485"/>
    <x v="671"/>
    <x v="2"/>
    <x v="1"/>
    <n v="372.92"/>
    <x v="102"/>
    <x v="2"/>
    <x v="3"/>
    <x v="673"/>
    <x v="0"/>
    <x v="0"/>
    <x v="2"/>
    <n v="745.84"/>
  </r>
  <r>
    <s v="ORD200674"/>
    <x v="486"/>
    <x v="672"/>
    <x v="5"/>
    <x v="3"/>
    <n v="358.75"/>
    <x v="458"/>
    <x v="3"/>
    <x v="3"/>
    <x v="674"/>
    <x v="6"/>
    <x v="0"/>
    <x v="3"/>
    <n v="1435"/>
  </r>
  <r>
    <s v="ORD200675"/>
    <x v="76"/>
    <x v="673"/>
    <x v="6"/>
    <x v="4"/>
    <n v="342.02"/>
    <x v="397"/>
    <x v="0"/>
    <x v="4"/>
    <x v="675"/>
    <x v="3"/>
    <x v="2"/>
    <x v="2"/>
    <n v="1026.06"/>
  </r>
  <r>
    <s v="ORD200676"/>
    <x v="127"/>
    <x v="674"/>
    <x v="5"/>
    <x v="1"/>
    <n v="422.34"/>
    <x v="454"/>
    <x v="2"/>
    <x v="1"/>
    <x v="676"/>
    <x v="4"/>
    <x v="1"/>
    <x v="0"/>
    <n v="844.68"/>
  </r>
  <r>
    <s v="ORD200677"/>
    <x v="487"/>
    <x v="675"/>
    <x v="2"/>
    <x v="0"/>
    <n v="22.07"/>
    <x v="12"/>
    <x v="1"/>
    <x v="1"/>
    <x v="677"/>
    <x v="0"/>
    <x v="1"/>
    <x v="0"/>
    <n v="110.35"/>
  </r>
  <r>
    <s v="ORD200678"/>
    <x v="167"/>
    <x v="676"/>
    <x v="3"/>
    <x v="4"/>
    <n v="163.13"/>
    <x v="190"/>
    <x v="3"/>
    <x v="0"/>
    <x v="678"/>
    <x v="3"/>
    <x v="3"/>
    <x v="3"/>
    <n v="489.39"/>
  </r>
  <r>
    <s v="ORD200679"/>
    <x v="488"/>
    <x v="677"/>
    <x v="2"/>
    <x v="4"/>
    <n v="360.66"/>
    <x v="323"/>
    <x v="1"/>
    <x v="2"/>
    <x v="679"/>
    <x v="3"/>
    <x v="1"/>
    <x v="0"/>
    <n v="1081.98"/>
  </r>
  <r>
    <s v="ORD200680"/>
    <x v="183"/>
    <x v="678"/>
    <x v="0"/>
    <x v="4"/>
    <n v="463.39"/>
    <x v="459"/>
    <x v="2"/>
    <x v="2"/>
    <x v="680"/>
    <x v="1"/>
    <x v="2"/>
    <x v="3"/>
    <n v="1390.17"/>
  </r>
  <r>
    <s v="ORD200681"/>
    <x v="489"/>
    <x v="679"/>
    <x v="2"/>
    <x v="2"/>
    <n v="155.27000000000001"/>
    <x v="460"/>
    <x v="0"/>
    <x v="0"/>
    <x v="681"/>
    <x v="5"/>
    <x v="2"/>
    <x v="2"/>
    <n v="155.27000000000001"/>
  </r>
  <r>
    <s v="ORD200682"/>
    <x v="363"/>
    <x v="680"/>
    <x v="0"/>
    <x v="4"/>
    <n v="509.42"/>
    <x v="367"/>
    <x v="2"/>
    <x v="1"/>
    <x v="682"/>
    <x v="3"/>
    <x v="1"/>
    <x v="4"/>
    <n v="1528.26"/>
  </r>
  <r>
    <s v="ORD200683"/>
    <x v="490"/>
    <x v="681"/>
    <x v="6"/>
    <x v="3"/>
    <n v="652.48"/>
    <x v="461"/>
    <x v="4"/>
    <x v="4"/>
    <x v="683"/>
    <x v="3"/>
    <x v="1"/>
    <x v="0"/>
    <n v="2609.92"/>
  </r>
  <r>
    <s v="ORD200684"/>
    <x v="491"/>
    <x v="682"/>
    <x v="4"/>
    <x v="3"/>
    <n v="34.840000000000003"/>
    <x v="462"/>
    <x v="2"/>
    <x v="0"/>
    <x v="684"/>
    <x v="2"/>
    <x v="2"/>
    <x v="2"/>
    <n v="139.36000000000001"/>
  </r>
  <r>
    <s v="ORD200685"/>
    <x v="492"/>
    <x v="683"/>
    <x v="6"/>
    <x v="2"/>
    <n v="234.37"/>
    <x v="463"/>
    <x v="0"/>
    <x v="0"/>
    <x v="685"/>
    <x v="3"/>
    <x v="1"/>
    <x v="2"/>
    <n v="234.37"/>
  </r>
  <r>
    <s v="ORD200686"/>
    <x v="112"/>
    <x v="684"/>
    <x v="6"/>
    <x v="4"/>
    <n v="53.6"/>
    <x v="464"/>
    <x v="4"/>
    <x v="4"/>
    <x v="686"/>
    <x v="4"/>
    <x v="3"/>
    <x v="3"/>
    <n v="160.80000000000001"/>
  </r>
  <r>
    <s v="ORD200687"/>
    <x v="493"/>
    <x v="685"/>
    <x v="2"/>
    <x v="2"/>
    <n v="332.09"/>
    <x v="465"/>
    <x v="3"/>
    <x v="2"/>
    <x v="687"/>
    <x v="3"/>
    <x v="1"/>
    <x v="0"/>
    <n v="332.09"/>
  </r>
  <r>
    <s v="ORD200688"/>
    <x v="26"/>
    <x v="686"/>
    <x v="0"/>
    <x v="3"/>
    <n v="593.22"/>
    <x v="432"/>
    <x v="2"/>
    <x v="1"/>
    <x v="688"/>
    <x v="2"/>
    <x v="3"/>
    <x v="3"/>
    <n v="2372.88"/>
  </r>
  <r>
    <s v="ORD200689"/>
    <x v="193"/>
    <x v="687"/>
    <x v="2"/>
    <x v="1"/>
    <n v="444.84"/>
    <x v="466"/>
    <x v="1"/>
    <x v="0"/>
    <x v="689"/>
    <x v="0"/>
    <x v="2"/>
    <x v="3"/>
    <n v="889.68"/>
  </r>
  <r>
    <s v="ORD200690"/>
    <x v="494"/>
    <x v="688"/>
    <x v="0"/>
    <x v="2"/>
    <n v="24.48"/>
    <x v="35"/>
    <x v="3"/>
    <x v="2"/>
    <x v="690"/>
    <x v="9"/>
    <x v="2"/>
    <x v="0"/>
    <n v="24.48"/>
  </r>
  <r>
    <s v="ORD200691"/>
    <x v="167"/>
    <x v="689"/>
    <x v="5"/>
    <x v="4"/>
    <n v="239.08"/>
    <x v="467"/>
    <x v="4"/>
    <x v="0"/>
    <x v="691"/>
    <x v="2"/>
    <x v="2"/>
    <x v="4"/>
    <n v="717.24"/>
  </r>
  <r>
    <s v="ORD200692"/>
    <x v="19"/>
    <x v="690"/>
    <x v="6"/>
    <x v="0"/>
    <n v="196.84"/>
    <x v="322"/>
    <x v="2"/>
    <x v="3"/>
    <x v="692"/>
    <x v="3"/>
    <x v="3"/>
    <x v="0"/>
    <n v="984.2"/>
  </r>
  <r>
    <s v="ORD200693"/>
    <x v="495"/>
    <x v="691"/>
    <x v="0"/>
    <x v="2"/>
    <n v="176.58"/>
    <x v="468"/>
    <x v="0"/>
    <x v="2"/>
    <x v="693"/>
    <x v="4"/>
    <x v="2"/>
    <x v="1"/>
    <n v="176.58"/>
  </r>
  <r>
    <s v="ORD200694"/>
    <x v="276"/>
    <x v="692"/>
    <x v="4"/>
    <x v="3"/>
    <n v="666.52"/>
    <x v="285"/>
    <x v="4"/>
    <x v="0"/>
    <x v="694"/>
    <x v="2"/>
    <x v="1"/>
    <x v="2"/>
    <n v="2666.08"/>
  </r>
  <r>
    <s v="ORD200695"/>
    <x v="432"/>
    <x v="693"/>
    <x v="4"/>
    <x v="0"/>
    <n v="101.3"/>
    <x v="158"/>
    <x v="1"/>
    <x v="0"/>
    <x v="695"/>
    <x v="0"/>
    <x v="1"/>
    <x v="2"/>
    <n v="506.5"/>
  </r>
  <r>
    <s v="ORD200696"/>
    <x v="226"/>
    <x v="694"/>
    <x v="3"/>
    <x v="3"/>
    <n v="151.19999999999999"/>
    <x v="469"/>
    <x v="3"/>
    <x v="4"/>
    <x v="696"/>
    <x v="6"/>
    <x v="3"/>
    <x v="3"/>
    <n v="604.79999999999995"/>
  </r>
  <r>
    <s v="ORD200697"/>
    <x v="496"/>
    <x v="695"/>
    <x v="4"/>
    <x v="0"/>
    <n v="94.85"/>
    <x v="430"/>
    <x v="4"/>
    <x v="0"/>
    <x v="697"/>
    <x v="5"/>
    <x v="3"/>
    <x v="2"/>
    <n v="474.25"/>
  </r>
  <r>
    <s v="ORD200698"/>
    <x v="0"/>
    <x v="696"/>
    <x v="5"/>
    <x v="1"/>
    <n v="388.22"/>
    <x v="382"/>
    <x v="4"/>
    <x v="3"/>
    <x v="698"/>
    <x v="7"/>
    <x v="3"/>
    <x v="0"/>
    <n v="776.44"/>
  </r>
  <r>
    <s v="ORD200699"/>
    <x v="497"/>
    <x v="697"/>
    <x v="5"/>
    <x v="4"/>
    <n v="614.15"/>
    <x v="470"/>
    <x v="3"/>
    <x v="1"/>
    <x v="699"/>
    <x v="1"/>
    <x v="2"/>
    <x v="3"/>
    <n v="1842.45"/>
  </r>
  <r>
    <s v="ORD200700"/>
    <x v="498"/>
    <x v="698"/>
    <x v="5"/>
    <x v="1"/>
    <n v="92.91"/>
    <x v="471"/>
    <x v="4"/>
    <x v="2"/>
    <x v="700"/>
    <x v="1"/>
    <x v="3"/>
    <x v="0"/>
    <n v="185.82"/>
  </r>
  <r>
    <s v="ORD200701"/>
    <x v="499"/>
    <x v="699"/>
    <x v="0"/>
    <x v="4"/>
    <n v="92.22"/>
    <x v="107"/>
    <x v="2"/>
    <x v="3"/>
    <x v="701"/>
    <x v="3"/>
    <x v="1"/>
    <x v="2"/>
    <n v="276.66000000000003"/>
  </r>
  <r>
    <s v="ORD200702"/>
    <x v="410"/>
    <x v="700"/>
    <x v="4"/>
    <x v="4"/>
    <n v="562.54999999999995"/>
    <x v="432"/>
    <x v="0"/>
    <x v="2"/>
    <x v="702"/>
    <x v="5"/>
    <x v="2"/>
    <x v="2"/>
    <n v="1687.65"/>
  </r>
  <r>
    <s v="ORD200703"/>
    <x v="500"/>
    <x v="701"/>
    <x v="6"/>
    <x v="2"/>
    <n v="92.79"/>
    <x v="472"/>
    <x v="4"/>
    <x v="4"/>
    <x v="703"/>
    <x v="1"/>
    <x v="3"/>
    <x v="2"/>
    <n v="92.79"/>
  </r>
  <r>
    <s v="ORD200704"/>
    <x v="301"/>
    <x v="702"/>
    <x v="6"/>
    <x v="3"/>
    <n v="30.27"/>
    <x v="145"/>
    <x v="1"/>
    <x v="3"/>
    <x v="704"/>
    <x v="6"/>
    <x v="1"/>
    <x v="4"/>
    <n v="121.08"/>
  </r>
  <r>
    <s v="ORD200705"/>
    <x v="501"/>
    <x v="703"/>
    <x v="0"/>
    <x v="1"/>
    <n v="49.08"/>
    <x v="473"/>
    <x v="0"/>
    <x v="2"/>
    <x v="705"/>
    <x v="0"/>
    <x v="1"/>
    <x v="0"/>
    <n v="98.16"/>
  </r>
  <r>
    <s v="ORD200706"/>
    <x v="380"/>
    <x v="704"/>
    <x v="6"/>
    <x v="0"/>
    <n v="228.09"/>
    <x v="310"/>
    <x v="3"/>
    <x v="2"/>
    <x v="706"/>
    <x v="6"/>
    <x v="1"/>
    <x v="3"/>
    <n v="1140.45"/>
  </r>
  <r>
    <s v="ORD200707"/>
    <x v="377"/>
    <x v="705"/>
    <x v="3"/>
    <x v="3"/>
    <n v="650.04"/>
    <x v="77"/>
    <x v="3"/>
    <x v="1"/>
    <x v="707"/>
    <x v="5"/>
    <x v="0"/>
    <x v="3"/>
    <n v="2600.16"/>
  </r>
  <r>
    <s v="ORD200708"/>
    <x v="155"/>
    <x v="706"/>
    <x v="4"/>
    <x v="2"/>
    <n v="665.11"/>
    <x v="430"/>
    <x v="4"/>
    <x v="4"/>
    <x v="708"/>
    <x v="1"/>
    <x v="1"/>
    <x v="0"/>
    <n v="665.11"/>
  </r>
  <r>
    <s v="ORD200709"/>
    <x v="34"/>
    <x v="707"/>
    <x v="6"/>
    <x v="2"/>
    <n v="386.03"/>
    <x v="474"/>
    <x v="1"/>
    <x v="4"/>
    <x v="709"/>
    <x v="4"/>
    <x v="1"/>
    <x v="4"/>
    <n v="386.03"/>
  </r>
  <r>
    <s v="ORD200710"/>
    <x v="319"/>
    <x v="708"/>
    <x v="5"/>
    <x v="0"/>
    <n v="21.54"/>
    <x v="475"/>
    <x v="3"/>
    <x v="2"/>
    <x v="710"/>
    <x v="8"/>
    <x v="2"/>
    <x v="4"/>
    <n v="107.7"/>
  </r>
  <r>
    <s v="ORD200711"/>
    <x v="502"/>
    <x v="709"/>
    <x v="2"/>
    <x v="1"/>
    <n v="475.78"/>
    <x v="476"/>
    <x v="1"/>
    <x v="0"/>
    <x v="711"/>
    <x v="7"/>
    <x v="3"/>
    <x v="4"/>
    <n v="951.56"/>
  </r>
  <r>
    <s v="ORD200712"/>
    <x v="486"/>
    <x v="557"/>
    <x v="2"/>
    <x v="1"/>
    <n v="68.400000000000006"/>
    <x v="477"/>
    <x v="3"/>
    <x v="4"/>
    <x v="712"/>
    <x v="0"/>
    <x v="1"/>
    <x v="2"/>
    <n v="136.80000000000001"/>
  </r>
  <r>
    <s v="ORD200713"/>
    <x v="370"/>
    <x v="710"/>
    <x v="2"/>
    <x v="3"/>
    <n v="532.49"/>
    <x v="463"/>
    <x v="1"/>
    <x v="1"/>
    <x v="713"/>
    <x v="5"/>
    <x v="0"/>
    <x v="3"/>
    <n v="2129.96"/>
  </r>
  <r>
    <s v="ORD200714"/>
    <x v="453"/>
    <x v="711"/>
    <x v="5"/>
    <x v="2"/>
    <n v="51.73"/>
    <x v="250"/>
    <x v="0"/>
    <x v="4"/>
    <x v="714"/>
    <x v="9"/>
    <x v="1"/>
    <x v="3"/>
    <n v="51.73"/>
  </r>
  <r>
    <s v="ORD200715"/>
    <x v="503"/>
    <x v="712"/>
    <x v="4"/>
    <x v="4"/>
    <n v="653.63"/>
    <x v="478"/>
    <x v="1"/>
    <x v="3"/>
    <x v="715"/>
    <x v="0"/>
    <x v="1"/>
    <x v="2"/>
    <n v="1960.89"/>
  </r>
  <r>
    <s v="ORD200716"/>
    <x v="136"/>
    <x v="713"/>
    <x v="3"/>
    <x v="4"/>
    <n v="454.29"/>
    <x v="18"/>
    <x v="2"/>
    <x v="4"/>
    <x v="716"/>
    <x v="4"/>
    <x v="3"/>
    <x v="4"/>
    <n v="1362.87"/>
  </r>
  <r>
    <s v="ORD200717"/>
    <x v="504"/>
    <x v="714"/>
    <x v="3"/>
    <x v="4"/>
    <n v="122.11"/>
    <x v="479"/>
    <x v="1"/>
    <x v="3"/>
    <x v="717"/>
    <x v="4"/>
    <x v="3"/>
    <x v="2"/>
    <n v="366.33"/>
  </r>
  <r>
    <s v="ORD200718"/>
    <x v="505"/>
    <x v="715"/>
    <x v="5"/>
    <x v="3"/>
    <n v="64.739999999999995"/>
    <x v="480"/>
    <x v="3"/>
    <x v="1"/>
    <x v="718"/>
    <x v="2"/>
    <x v="0"/>
    <x v="4"/>
    <n v="258.95999999999998"/>
  </r>
  <r>
    <s v="ORD200719"/>
    <x v="506"/>
    <x v="716"/>
    <x v="5"/>
    <x v="1"/>
    <n v="681.06"/>
    <x v="481"/>
    <x v="0"/>
    <x v="0"/>
    <x v="719"/>
    <x v="1"/>
    <x v="1"/>
    <x v="3"/>
    <n v="1362.12"/>
  </r>
  <r>
    <s v="ORD200720"/>
    <x v="507"/>
    <x v="717"/>
    <x v="6"/>
    <x v="0"/>
    <n v="128.94999999999999"/>
    <x v="482"/>
    <x v="4"/>
    <x v="4"/>
    <x v="720"/>
    <x v="8"/>
    <x v="1"/>
    <x v="0"/>
    <n v="644.75"/>
  </r>
  <r>
    <s v="ORD200721"/>
    <x v="508"/>
    <x v="718"/>
    <x v="6"/>
    <x v="1"/>
    <n v="118.59"/>
    <x v="483"/>
    <x v="2"/>
    <x v="3"/>
    <x v="721"/>
    <x v="7"/>
    <x v="2"/>
    <x v="2"/>
    <n v="237.18"/>
  </r>
  <r>
    <s v="ORD200722"/>
    <x v="64"/>
    <x v="719"/>
    <x v="4"/>
    <x v="2"/>
    <n v="95.1"/>
    <x v="244"/>
    <x v="3"/>
    <x v="4"/>
    <x v="722"/>
    <x v="9"/>
    <x v="3"/>
    <x v="0"/>
    <n v="95.1"/>
  </r>
  <r>
    <s v="ORD200723"/>
    <x v="509"/>
    <x v="720"/>
    <x v="6"/>
    <x v="4"/>
    <n v="54.95"/>
    <x v="61"/>
    <x v="4"/>
    <x v="2"/>
    <x v="723"/>
    <x v="2"/>
    <x v="0"/>
    <x v="1"/>
    <n v="164.85"/>
  </r>
  <r>
    <s v="ORD200724"/>
    <x v="266"/>
    <x v="721"/>
    <x v="4"/>
    <x v="4"/>
    <n v="136.97"/>
    <x v="257"/>
    <x v="2"/>
    <x v="2"/>
    <x v="724"/>
    <x v="4"/>
    <x v="1"/>
    <x v="1"/>
    <n v="410.91"/>
  </r>
  <r>
    <s v="ORD200725"/>
    <x v="255"/>
    <x v="722"/>
    <x v="3"/>
    <x v="1"/>
    <n v="194.85"/>
    <x v="377"/>
    <x v="3"/>
    <x v="2"/>
    <x v="725"/>
    <x v="3"/>
    <x v="2"/>
    <x v="1"/>
    <n v="389.7"/>
  </r>
  <r>
    <s v="ORD200726"/>
    <x v="510"/>
    <x v="723"/>
    <x v="5"/>
    <x v="3"/>
    <n v="583.02"/>
    <x v="484"/>
    <x v="1"/>
    <x v="3"/>
    <x v="726"/>
    <x v="4"/>
    <x v="1"/>
    <x v="3"/>
    <n v="2332.08"/>
  </r>
  <r>
    <s v="ORD200727"/>
    <x v="470"/>
    <x v="724"/>
    <x v="3"/>
    <x v="0"/>
    <n v="95.75"/>
    <x v="338"/>
    <x v="1"/>
    <x v="0"/>
    <x v="727"/>
    <x v="2"/>
    <x v="0"/>
    <x v="0"/>
    <n v="478.75"/>
  </r>
  <r>
    <s v="ORD200728"/>
    <x v="511"/>
    <x v="725"/>
    <x v="6"/>
    <x v="3"/>
    <n v="325.76"/>
    <x v="485"/>
    <x v="3"/>
    <x v="0"/>
    <x v="728"/>
    <x v="2"/>
    <x v="3"/>
    <x v="2"/>
    <n v="1303.04"/>
  </r>
  <r>
    <s v="ORD200729"/>
    <x v="102"/>
    <x v="726"/>
    <x v="1"/>
    <x v="3"/>
    <n v="186.41"/>
    <x v="145"/>
    <x v="3"/>
    <x v="4"/>
    <x v="729"/>
    <x v="5"/>
    <x v="0"/>
    <x v="4"/>
    <n v="745.64"/>
  </r>
  <r>
    <s v="ORD200730"/>
    <x v="512"/>
    <x v="727"/>
    <x v="1"/>
    <x v="2"/>
    <n v="474.6"/>
    <x v="208"/>
    <x v="0"/>
    <x v="3"/>
    <x v="730"/>
    <x v="4"/>
    <x v="0"/>
    <x v="2"/>
    <n v="474.6"/>
  </r>
  <r>
    <s v="ORD200731"/>
    <x v="267"/>
    <x v="728"/>
    <x v="4"/>
    <x v="0"/>
    <n v="584.46"/>
    <x v="486"/>
    <x v="2"/>
    <x v="2"/>
    <x v="731"/>
    <x v="2"/>
    <x v="2"/>
    <x v="2"/>
    <n v="2922.3"/>
  </r>
  <r>
    <s v="ORD200732"/>
    <x v="456"/>
    <x v="729"/>
    <x v="5"/>
    <x v="2"/>
    <n v="132.05000000000001"/>
    <x v="466"/>
    <x v="1"/>
    <x v="3"/>
    <x v="732"/>
    <x v="7"/>
    <x v="2"/>
    <x v="4"/>
    <n v="132.05000000000001"/>
  </r>
  <r>
    <s v="ORD200733"/>
    <x v="513"/>
    <x v="730"/>
    <x v="2"/>
    <x v="3"/>
    <n v="494.84"/>
    <x v="459"/>
    <x v="4"/>
    <x v="2"/>
    <x v="733"/>
    <x v="2"/>
    <x v="0"/>
    <x v="2"/>
    <n v="1979.36"/>
  </r>
  <r>
    <s v="ORD200734"/>
    <x v="514"/>
    <x v="731"/>
    <x v="4"/>
    <x v="3"/>
    <n v="224.61"/>
    <x v="245"/>
    <x v="2"/>
    <x v="2"/>
    <x v="734"/>
    <x v="5"/>
    <x v="3"/>
    <x v="3"/>
    <n v="898.44"/>
  </r>
  <r>
    <s v="ORD200735"/>
    <x v="515"/>
    <x v="732"/>
    <x v="0"/>
    <x v="3"/>
    <n v="44.07"/>
    <x v="319"/>
    <x v="0"/>
    <x v="4"/>
    <x v="735"/>
    <x v="5"/>
    <x v="2"/>
    <x v="2"/>
    <n v="176.28"/>
  </r>
  <r>
    <s v="ORD200736"/>
    <x v="516"/>
    <x v="733"/>
    <x v="0"/>
    <x v="0"/>
    <n v="418.53"/>
    <x v="386"/>
    <x v="2"/>
    <x v="4"/>
    <x v="736"/>
    <x v="5"/>
    <x v="1"/>
    <x v="4"/>
    <n v="2092.65"/>
  </r>
  <r>
    <s v="ORD200737"/>
    <x v="517"/>
    <x v="734"/>
    <x v="1"/>
    <x v="3"/>
    <n v="532.87"/>
    <x v="487"/>
    <x v="4"/>
    <x v="4"/>
    <x v="737"/>
    <x v="6"/>
    <x v="1"/>
    <x v="0"/>
    <n v="2131.48"/>
  </r>
  <r>
    <s v="ORD200738"/>
    <x v="518"/>
    <x v="735"/>
    <x v="1"/>
    <x v="1"/>
    <n v="485.37"/>
    <x v="488"/>
    <x v="2"/>
    <x v="0"/>
    <x v="738"/>
    <x v="3"/>
    <x v="0"/>
    <x v="2"/>
    <n v="970.74"/>
  </r>
  <r>
    <s v="ORD200739"/>
    <x v="136"/>
    <x v="736"/>
    <x v="1"/>
    <x v="3"/>
    <n v="386.73"/>
    <x v="122"/>
    <x v="4"/>
    <x v="3"/>
    <x v="739"/>
    <x v="4"/>
    <x v="0"/>
    <x v="3"/>
    <n v="1546.92"/>
  </r>
  <r>
    <s v="ORD200740"/>
    <x v="351"/>
    <x v="737"/>
    <x v="6"/>
    <x v="1"/>
    <n v="377.47"/>
    <x v="339"/>
    <x v="4"/>
    <x v="4"/>
    <x v="740"/>
    <x v="0"/>
    <x v="2"/>
    <x v="4"/>
    <n v="754.94"/>
  </r>
  <r>
    <s v="ORD200741"/>
    <x v="185"/>
    <x v="738"/>
    <x v="0"/>
    <x v="0"/>
    <n v="332.64"/>
    <x v="489"/>
    <x v="3"/>
    <x v="3"/>
    <x v="741"/>
    <x v="8"/>
    <x v="2"/>
    <x v="1"/>
    <n v="1663.2"/>
  </r>
  <r>
    <s v="ORD200742"/>
    <x v="519"/>
    <x v="739"/>
    <x v="5"/>
    <x v="4"/>
    <n v="699.93"/>
    <x v="254"/>
    <x v="4"/>
    <x v="2"/>
    <x v="742"/>
    <x v="0"/>
    <x v="0"/>
    <x v="4"/>
    <n v="2099.79"/>
  </r>
  <r>
    <s v="ORD200743"/>
    <x v="430"/>
    <x v="740"/>
    <x v="0"/>
    <x v="2"/>
    <n v="576.35"/>
    <x v="38"/>
    <x v="3"/>
    <x v="2"/>
    <x v="743"/>
    <x v="9"/>
    <x v="3"/>
    <x v="0"/>
    <n v="576.35"/>
  </r>
  <r>
    <s v="ORD200744"/>
    <x v="520"/>
    <x v="741"/>
    <x v="2"/>
    <x v="1"/>
    <n v="461.37"/>
    <x v="490"/>
    <x v="4"/>
    <x v="3"/>
    <x v="744"/>
    <x v="3"/>
    <x v="0"/>
    <x v="4"/>
    <n v="922.74"/>
  </r>
  <r>
    <s v="ORD200745"/>
    <x v="521"/>
    <x v="742"/>
    <x v="4"/>
    <x v="3"/>
    <n v="111.3"/>
    <x v="491"/>
    <x v="0"/>
    <x v="4"/>
    <x v="745"/>
    <x v="0"/>
    <x v="1"/>
    <x v="2"/>
    <n v="445.2"/>
  </r>
  <r>
    <s v="ORD200746"/>
    <x v="522"/>
    <x v="743"/>
    <x v="6"/>
    <x v="4"/>
    <n v="661.89"/>
    <x v="492"/>
    <x v="1"/>
    <x v="1"/>
    <x v="746"/>
    <x v="5"/>
    <x v="3"/>
    <x v="1"/>
    <n v="1985.67"/>
  </r>
  <r>
    <s v="ORD200747"/>
    <x v="495"/>
    <x v="744"/>
    <x v="2"/>
    <x v="1"/>
    <n v="259.58"/>
    <x v="493"/>
    <x v="0"/>
    <x v="3"/>
    <x v="747"/>
    <x v="0"/>
    <x v="1"/>
    <x v="0"/>
    <n v="519.16"/>
  </r>
  <r>
    <s v="ORD200748"/>
    <x v="523"/>
    <x v="745"/>
    <x v="2"/>
    <x v="4"/>
    <n v="70.81"/>
    <x v="379"/>
    <x v="2"/>
    <x v="0"/>
    <x v="748"/>
    <x v="2"/>
    <x v="1"/>
    <x v="1"/>
    <n v="212.43"/>
  </r>
  <r>
    <s v="ORD200749"/>
    <x v="524"/>
    <x v="746"/>
    <x v="5"/>
    <x v="2"/>
    <n v="518.39"/>
    <x v="494"/>
    <x v="0"/>
    <x v="4"/>
    <x v="749"/>
    <x v="4"/>
    <x v="1"/>
    <x v="0"/>
    <n v="518.39"/>
  </r>
  <r>
    <s v="ORD200750"/>
    <x v="90"/>
    <x v="747"/>
    <x v="2"/>
    <x v="3"/>
    <n v="145.41"/>
    <x v="495"/>
    <x v="2"/>
    <x v="2"/>
    <x v="750"/>
    <x v="0"/>
    <x v="1"/>
    <x v="2"/>
    <n v="581.64"/>
  </r>
  <r>
    <s v="ORD200751"/>
    <x v="16"/>
    <x v="748"/>
    <x v="2"/>
    <x v="1"/>
    <n v="599.86"/>
    <x v="496"/>
    <x v="3"/>
    <x v="4"/>
    <x v="751"/>
    <x v="0"/>
    <x v="1"/>
    <x v="3"/>
    <n v="1199.72"/>
  </r>
  <r>
    <s v="ORD200752"/>
    <x v="525"/>
    <x v="749"/>
    <x v="1"/>
    <x v="3"/>
    <n v="429.37"/>
    <x v="238"/>
    <x v="2"/>
    <x v="3"/>
    <x v="752"/>
    <x v="2"/>
    <x v="1"/>
    <x v="4"/>
    <n v="1717.48"/>
  </r>
  <r>
    <s v="ORD200753"/>
    <x v="526"/>
    <x v="750"/>
    <x v="1"/>
    <x v="1"/>
    <n v="241.49"/>
    <x v="497"/>
    <x v="0"/>
    <x v="2"/>
    <x v="753"/>
    <x v="0"/>
    <x v="1"/>
    <x v="0"/>
    <n v="482.98"/>
  </r>
  <r>
    <s v="ORD200754"/>
    <x v="133"/>
    <x v="751"/>
    <x v="4"/>
    <x v="1"/>
    <n v="452.05"/>
    <x v="498"/>
    <x v="2"/>
    <x v="2"/>
    <x v="754"/>
    <x v="1"/>
    <x v="3"/>
    <x v="2"/>
    <n v="904.1"/>
  </r>
  <r>
    <s v="ORD200755"/>
    <x v="527"/>
    <x v="752"/>
    <x v="6"/>
    <x v="4"/>
    <n v="336.71"/>
    <x v="499"/>
    <x v="2"/>
    <x v="4"/>
    <x v="755"/>
    <x v="4"/>
    <x v="2"/>
    <x v="2"/>
    <n v="1010.13"/>
  </r>
  <r>
    <s v="ORD200756"/>
    <x v="326"/>
    <x v="753"/>
    <x v="1"/>
    <x v="2"/>
    <n v="283.69"/>
    <x v="54"/>
    <x v="3"/>
    <x v="0"/>
    <x v="756"/>
    <x v="5"/>
    <x v="2"/>
    <x v="4"/>
    <n v="283.69"/>
  </r>
  <r>
    <s v="ORD200757"/>
    <x v="27"/>
    <x v="754"/>
    <x v="6"/>
    <x v="2"/>
    <n v="157.72"/>
    <x v="171"/>
    <x v="0"/>
    <x v="3"/>
    <x v="757"/>
    <x v="7"/>
    <x v="1"/>
    <x v="4"/>
    <n v="157.72"/>
  </r>
  <r>
    <s v="ORD200758"/>
    <x v="465"/>
    <x v="755"/>
    <x v="2"/>
    <x v="4"/>
    <n v="624.84"/>
    <x v="69"/>
    <x v="2"/>
    <x v="1"/>
    <x v="758"/>
    <x v="2"/>
    <x v="3"/>
    <x v="3"/>
    <n v="1874.52"/>
  </r>
  <r>
    <s v="ORD200759"/>
    <x v="528"/>
    <x v="756"/>
    <x v="6"/>
    <x v="4"/>
    <n v="308.01"/>
    <x v="500"/>
    <x v="4"/>
    <x v="4"/>
    <x v="759"/>
    <x v="1"/>
    <x v="1"/>
    <x v="3"/>
    <n v="924.03"/>
  </r>
  <r>
    <s v="ORD200760"/>
    <x v="403"/>
    <x v="757"/>
    <x v="6"/>
    <x v="2"/>
    <n v="39.56"/>
    <x v="160"/>
    <x v="0"/>
    <x v="1"/>
    <x v="760"/>
    <x v="3"/>
    <x v="2"/>
    <x v="4"/>
    <n v="39.56"/>
  </r>
  <r>
    <s v="ORD200761"/>
    <x v="454"/>
    <x v="758"/>
    <x v="6"/>
    <x v="3"/>
    <n v="37.76"/>
    <x v="501"/>
    <x v="0"/>
    <x v="3"/>
    <x v="761"/>
    <x v="0"/>
    <x v="2"/>
    <x v="4"/>
    <n v="151.04"/>
  </r>
  <r>
    <s v="ORD200762"/>
    <x v="529"/>
    <x v="759"/>
    <x v="1"/>
    <x v="4"/>
    <n v="76.959999999999994"/>
    <x v="84"/>
    <x v="4"/>
    <x v="2"/>
    <x v="762"/>
    <x v="2"/>
    <x v="1"/>
    <x v="2"/>
    <n v="230.88"/>
  </r>
  <r>
    <s v="ORD200763"/>
    <x v="388"/>
    <x v="760"/>
    <x v="5"/>
    <x v="2"/>
    <n v="569.96"/>
    <x v="91"/>
    <x v="1"/>
    <x v="3"/>
    <x v="763"/>
    <x v="4"/>
    <x v="1"/>
    <x v="2"/>
    <n v="569.96"/>
  </r>
  <r>
    <s v="ORD200764"/>
    <x v="416"/>
    <x v="761"/>
    <x v="5"/>
    <x v="0"/>
    <n v="627.42999999999995"/>
    <x v="155"/>
    <x v="2"/>
    <x v="1"/>
    <x v="764"/>
    <x v="8"/>
    <x v="1"/>
    <x v="2"/>
    <n v="3137.15"/>
  </r>
  <r>
    <s v="ORD200765"/>
    <x v="426"/>
    <x v="762"/>
    <x v="5"/>
    <x v="1"/>
    <n v="534.91"/>
    <x v="478"/>
    <x v="0"/>
    <x v="2"/>
    <x v="765"/>
    <x v="3"/>
    <x v="0"/>
    <x v="4"/>
    <n v="1069.82"/>
  </r>
  <r>
    <s v="ORD200766"/>
    <x v="55"/>
    <x v="763"/>
    <x v="4"/>
    <x v="1"/>
    <n v="278.88"/>
    <x v="294"/>
    <x v="0"/>
    <x v="4"/>
    <x v="766"/>
    <x v="1"/>
    <x v="1"/>
    <x v="1"/>
    <n v="557.76"/>
  </r>
  <r>
    <s v="ORD200767"/>
    <x v="479"/>
    <x v="764"/>
    <x v="2"/>
    <x v="1"/>
    <n v="323.22000000000003"/>
    <x v="502"/>
    <x v="2"/>
    <x v="3"/>
    <x v="767"/>
    <x v="0"/>
    <x v="2"/>
    <x v="0"/>
    <n v="646.44000000000005"/>
  </r>
  <r>
    <s v="ORD200768"/>
    <x v="355"/>
    <x v="765"/>
    <x v="2"/>
    <x v="0"/>
    <n v="653.46"/>
    <x v="503"/>
    <x v="4"/>
    <x v="1"/>
    <x v="768"/>
    <x v="6"/>
    <x v="3"/>
    <x v="2"/>
    <n v="3267.3"/>
  </r>
  <r>
    <s v="ORD200769"/>
    <x v="117"/>
    <x v="766"/>
    <x v="4"/>
    <x v="3"/>
    <n v="678.55"/>
    <x v="28"/>
    <x v="4"/>
    <x v="3"/>
    <x v="769"/>
    <x v="3"/>
    <x v="2"/>
    <x v="2"/>
    <n v="2714.2"/>
  </r>
  <r>
    <s v="ORD200770"/>
    <x v="530"/>
    <x v="767"/>
    <x v="6"/>
    <x v="2"/>
    <n v="314.38"/>
    <x v="347"/>
    <x v="1"/>
    <x v="2"/>
    <x v="770"/>
    <x v="5"/>
    <x v="2"/>
    <x v="4"/>
    <n v="314.38"/>
  </r>
  <r>
    <s v="ORD200771"/>
    <x v="520"/>
    <x v="768"/>
    <x v="1"/>
    <x v="4"/>
    <n v="692.44"/>
    <x v="314"/>
    <x v="0"/>
    <x v="1"/>
    <x v="771"/>
    <x v="2"/>
    <x v="1"/>
    <x v="4"/>
    <n v="2077.3200000000002"/>
  </r>
  <r>
    <s v="ORD200772"/>
    <x v="118"/>
    <x v="769"/>
    <x v="0"/>
    <x v="2"/>
    <n v="604.87"/>
    <x v="504"/>
    <x v="1"/>
    <x v="3"/>
    <x v="772"/>
    <x v="4"/>
    <x v="2"/>
    <x v="0"/>
    <n v="604.87"/>
  </r>
  <r>
    <s v="ORD200773"/>
    <x v="164"/>
    <x v="770"/>
    <x v="1"/>
    <x v="1"/>
    <n v="512.33000000000004"/>
    <x v="505"/>
    <x v="4"/>
    <x v="1"/>
    <x v="773"/>
    <x v="0"/>
    <x v="2"/>
    <x v="3"/>
    <n v="1024.6600000000001"/>
  </r>
  <r>
    <s v="ORD200774"/>
    <x v="198"/>
    <x v="771"/>
    <x v="3"/>
    <x v="4"/>
    <n v="20.54"/>
    <x v="506"/>
    <x v="2"/>
    <x v="1"/>
    <x v="774"/>
    <x v="1"/>
    <x v="1"/>
    <x v="0"/>
    <n v="61.62"/>
  </r>
  <r>
    <s v="ORD200775"/>
    <x v="190"/>
    <x v="772"/>
    <x v="1"/>
    <x v="1"/>
    <n v="625.22"/>
    <x v="21"/>
    <x v="1"/>
    <x v="1"/>
    <x v="775"/>
    <x v="3"/>
    <x v="2"/>
    <x v="4"/>
    <n v="1250.44"/>
  </r>
  <r>
    <s v="ORD200776"/>
    <x v="531"/>
    <x v="773"/>
    <x v="2"/>
    <x v="2"/>
    <n v="21.19"/>
    <x v="507"/>
    <x v="4"/>
    <x v="2"/>
    <x v="776"/>
    <x v="3"/>
    <x v="3"/>
    <x v="4"/>
    <n v="21.19"/>
  </r>
  <r>
    <s v="ORD200777"/>
    <x v="438"/>
    <x v="774"/>
    <x v="3"/>
    <x v="0"/>
    <n v="64.489999999999995"/>
    <x v="22"/>
    <x v="1"/>
    <x v="1"/>
    <x v="777"/>
    <x v="0"/>
    <x v="2"/>
    <x v="3"/>
    <n v="322.45"/>
  </r>
  <r>
    <s v="ORD200778"/>
    <x v="200"/>
    <x v="775"/>
    <x v="5"/>
    <x v="3"/>
    <n v="246.85"/>
    <x v="508"/>
    <x v="2"/>
    <x v="0"/>
    <x v="778"/>
    <x v="2"/>
    <x v="3"/>
    <x v="4"/>
    <n v="987.4"/>
  </r>
  <r>
    <s v="ORD200779"/>
    <x v="142"/>
    <x v="776"/>
    <x v="1"/>
    <x v="4"/>
    <n v="588.74"/>
    <x v="509"/>
    <x v="0"/>
    <x v="4"/>
    <x v="779"/>
    <x v="2"/>
    <x v="1"/>
    <x v="2"/>
    <n v="1766.22"/>
  </r>
  <r>
    <s v="ORD200780"/>
    <x v="74"/>
    <x v="777"/>
    <x v="5"/>
    <x v="3"/>
    <n v="184.48"/>
    <x v="345"/>
    <x v="1"/>
    <x v="1"/>
    <x v="780"/>
    <x v="4"/>
    <x v="3"/>
    <x v="4"/>
    <n v="737.92"/>
  </r>
  <r>
    <s v="ORD200781"/>
    <x v="532"/>
    <x v="778"/>
    <x v="1"/>
    <x v="0"/>
    <n v="524.26"/>
    <x v="5"/>
    <x v="3"/>
    <x v="3"/>
    <x v="781"/>
    <x v="3"/>
    <x v="1"/>
    <x v="1"/>
    <n v="2621.3000000000002"/>
  </r>
  <r>
    <s v="ORD200782"/>
    <x v="533"/>
    <x v="779"/>
    <x v="0"/>
    <x v="1"/>
    <n v="493.63"/>
    <x v="414"/>
    <x v="1"/>
    <x v="2"/>
    <x v="782"/>
    <x v="5"/>
    <x v="0"/>
    <x v="1"/>
    <n v="987.26"/>
  </r>
  <r>
    <s v="ORD200783"/>
    <x v="534"/>
    <x v="780"/>
    <x v="4"/>
    <x v="2"/>
    <n v="438.34"/>
    <x v="478"/>
    <x v="3"/>
    <x v="2"/>
    <x v="783"/>
    <x v="3"/>
    <x v="1"/>
    <x v="3"/>
    <n v="438.34"/>
  </r>
  <r>
    <s v="ORD200784"/>
    <x v="535"/>
    <x v="781"/>
    <x v="5"/>
    <x v="2"/>
    <n v="325.81"/>
    <x v="49"/>
    <x v="2"/>
    <x v="4"/>
    <x v="784"/>
    <x v="9"/>
    <x v="3"/>
    <x v="1"/>
    <n v="325.81"/>
  </r>
  <r>
    <s v="ORD200785"/>
    <x v="536"/>
    <x v="782"/>
    <x v="3"/>
    <x v="2"/>
    <n v="176.1"/>
    <x v="510"/>
    <x v="2"/>
    <x v="4"/>
    <x v="785"/>
    <x v="9"/>
    <x v="0"/>
    <x v="0"/>
    <n v="176.1"/>
  </r>
  <r>
    <s v="ORD200786"/>
    <x v="421"/>
    <x v="783"/>
    <x v="3"/>
    <x v="0"/>
    <n v="45.31"/>
    <x v="511"/>
    <x v="1"/>
    <x v="1"/>
    <x v="786"/>
    <x v="2"/>
    <x v="2"/>
    <x v="1"/>
    <n v="226.55"/>
  </r>
  <r>
    <s v="ORD200787"/>
    <x v="537"/>
    <x v="784"/>
    <x v="6"/>
    <x v="3"/>
    <n v="221.96"/>
    <x v="512"/>
    <x v="4"/>
    <x v="3"/>
    <x v="787"/>
    <x v="0"/>
    <x v="2"/>
    <x v="4"/>
    <n v="887.84"/>
  </r>
  <r>
    <s v="ORD200788"/>
    <x v="208"/>
    <x v="785"/>
    <x v="3"/>
    <x v="1"/>
    <n v="601.42999999999995"/>
    <x v="513"/>
    <x v="1"/>
    <x v="4"/>
    <x v="788"/>
    <x v="3"/>
    <x v="1"/>
    <x v="0"/>
    <n v="1202.8599999999999"/>
  </r>
  <r>
    <s v="ORD200789"/>
    <x v="538"/>
    <x v="786"/>
    <x v="2"/>
    <x v="0"/>
    <n v="691.28"/>
    <x v="514"/>
    <x v="1"/>
    <x v="3"/>
    <x v="789"/>
    <x v="8"/>
    <x v="0"/>
    <x v="2"/>
    <n v="3456.4"/>
  </r>
  <r>
    <s v="ORD200790"/>
    <x v="154"/>
    <x v="787"/>
    <x v="5"/>
    <x v="3"/>
    <n v="417.89"/>
    <x v="515"/>
    <x v="3"/>
    <x v="4"/>
    <x v="790"/>
    <x v="4"/>
    <x v="2"/>
    <x v="4"/>
    <n v="1671.56"/>
  </r>
  <r>
    <s v="ORD200791"/>
    <x v="539"/>
    <x v="788"/>
    <x v="3"/>
    <x v="3"/>
    <n v="409.28"/>
    <x v="24"/>
    <x v="4"/>
    <x v="4"/>
    <x v="791"/>
    <x v="2"/>
    <x v="2"/>
    <x v="2"/>
    <n v="1637.12"/>
  </r>
  <r>
    <s v="ORD200792"/>
    <x v="379"/>
    <x v="789"/>
    <x v="6"/>
    <x v="1"/>
    <n v="356.35"/>
    <x v="516"/>
    <x v="0"/>
    <x v="2"/>
    <x v="792"/>
    <x v="5"/>
    <x v="3"/>
    <x v="3"/>
    <n v="712.7"/>
  </r>
  <r>
    <s v="ORD200793"/>
    <x v="116"/>
    <x v="790"/>
    <x v="3"/>
    <x v="0"/>
    <n v="170.22"/>
    <x v="335"/>
    <x v="0"/>
    <x v="3"/>
    <x v="793"/>
    <x v="2"/>
    <x v="2"/>
    <x v="1"/>
    <n v="851.1"/>
  </r>
  <r>
    <s v="ORD200794"/>
    <x v="338"/>
    <x v="791"/>
    <x v="4"/>
    <x v="3"/>
    <n v="384.85"/>
    <x v="517"/>
    <x v="1"/>
    <x v="3"/>
    <x v="794"/>
    <x v="6"/>
    <x v="1"/>
    <x v="0"/>
    <n v="1539.4"/>
  </r>
  <r>
    <s v="ORD200795"/>
    <x v="540"/>
    <x v="792"/>
    <x v="5"/>
    <x v="3"/>
    <n v="115.77"/>
    <x v="518"/>
    <x v="1"/>
    <x v="4"/>
    <x v="795"/>
    <x v="0"/>
    <x v="0"/>
    <x v="0"/>
    <n v="463.08"/>
  </r>
  <r>
    <s v="ORD200796"/>
    <x v="541"/>
    <x v="793"/>
    <x v="1"/>
    <x v="4"/>
    <n v="579.54999999999995"/>
    <x v="189"/>
    <x v="3"/>
    <x v="2"/>
    <x v="796"/>
    <x v="2"/>
    <x v="3"/>
    <x v="3"/>
    <n v="1738.65"/>
  </r>
  <r>
    <s v="ORD200797"/>
    <x v="146"/>
    <x v="794"/>
    <x v="5"/>
    <x v="1"/>
    <n v="438.76"/>
    <x v="519"/>
    <x v="0"/>
    <x v="2"/>
    <x v="797"/>
    <x v="7"/>
    <x v="2"/>
    <x v="3"/>
    <n v="877.52"/>
  </r>
  <r>
    <s v="ORD200798"/>
    <x v="542"/>
    <x v="795"/>
    <x v="1"/>
    <x v="0"/>
    <n v="488.35"/>
    <x v="262"/>
    <x v="0"/>
    <x v="2"/>
    <x v="798"/>
    <x v="6"/>
    <x v="1"/>
    <x v="2"/>
    <n v="2441.75"/>
  </r>
  <r>
    <s v="ORD200799"/>
    <x v="397"/>
    <x v="796"/>
    <x v="5"/>
    <x v="3"/>
    <n v="328.56"/>
    <x v="228"/>
    <x v="0"/>
    <x v="2"/>
    <x v="799"/>
    <x v="4"/>
    <x v="1"/>
    <x v="2"/>
    <n v="1314.24"/>
  </r>
  <r>
    <s v="ORD200800"/>
    <x v="210"/>
    <x v="797"/>
    <x v="2"/>
    <x v="2"/>
    <n v="68.39"/>
    <x v="520"/>
    <x v="1"/>
    <x v="2"/>
    <x v="800"/>
    <x v="1"/>
    <x v="3"/>
    <x v="3"/>
    <n v="68.39"/>
  </r>
  <r>
    <s v="ORD200801"/>
    <x v="71"/>
    <x v="27"/>
    <x v="4"/>
    <x v="3"/>
    <n v="595.62"/>
    <x v="521"/>
    <x v="0"/>
    <x v="4"/>
    <x v="801"/>
    <x v="2"/>
    <x v="1"/>
    <x v="3"/>
    <n v="2382.48"/>
  </r>
  <r>
    <s v="ORD200802"/>
    <x v="11"/>
    <x v="798"/>
    <x v="3"/>
    <x v="0"/>
    <n v="644.64"/>
    <x v="522"/>
    <x v="3"/>
    <x v="1"/>
    <x v="802"/>
    <x v="5"/>
    <x v="1"/>
    <x v="2"/>
    <n v="3223.2"/>
  </r>
  <r>
    <s v="ORD200803"/>
    <x v="38"/>
    <x v="799"/>
    <x v="0"/>
    <x v="0"/>
    <n v="397.81"/>
    <x v="44"/>
    <x v="0"/>
    <x v="2"/>
    <x v="803"/>
    <x v="3"/>
    <x v="0"/>
    <x v="1"/>
    <n v="1989.05"/>
  </r>
  <r>
    <s v="ORD200804"/>
    <x v="543"/>
    <x v="800"/>
    <x v="3"/>
    <x v="4"/>
    <n v="236.5"/>
    <x v="523"/>
    <x v="1"/>
    <x v="3"/>
    <x v="804"/>
    <x v="2"/>
    <x v="1"/>
    <x v="2"/>
    <n v="709.5"/>
  </r>
  <r>
    <s v="ORD200805"/>
    <x v="12"/>
    <x v="801"/>
    <x v="5"/>
    <x v="0"/>
    <n v="472.01"/>
    <x v="524"/>
    <x v="3"/>
    <x v="1"/>
    <x v="805"/>
    <x v="8"/>
    <x v="0"/>
    <x v="2"/>
    <n v="2360.0500000000002"/>
  </r>
  <r>
    <s v="ORD200806"/>
    <x v="544"/>
    <x v="802"/>
    <x v="3"/>
    <x v="0"/>
    <n v="253.75"/>
    <x v="240"/>
    <x v="1"/>
    <x v="4"/>
    <x v="806"/>
    <x v="6"/>
    <x v="3"/>
    <x v="0"/>
    <n v="1268.75"/>
  </r>
  <r>
    <s v="ORD200807"/>
    <x v="337"/>
    <x v="803"/>
    <x v="0"/>
    <x v="4"/>
    <n v="676.21"/>
    <x v="525"/>
    <x v="1"/>
    <x v="3"/>
    <x v="807"/>
    <x v="3"/>
    <x v="0"/>
    <x v="4"/>
    <n v="2028.63"/>
  </r>
  <r>
    <s v="ORD200808"/>
    <x v="545"/>
    <x v="804"/>
    <x v="6"/>
    <x v="4"/>
    <n v="134.05000000000001"/>
    <x v="526"/>
    <x v="2"/>
    <x v="0"/>
    <x v="808"/>
    <x v="1"/>
    <x v="2"/>
    <x v="4"/>
    <n v="402.15"/>
  </r>
  <r>
    <s v="ORD200809"/>
    <x v="398"/>
    <x v="805"/>
    <x v="6"/>
    <x v="0"/>
    <n v="217.43"/>
    <x v="60"/>
    <x v="0"/>
    <x v="0"/>
    <x v="809"/>
    <x v="8"/>
    <x v="0"/>
    <x v="0"/>
    <n v="1087.1500000000001"/>
  </r>
  <r>
    <s v="ORD200810"/>
    <x v="546"/>
    <x v="806"/>
    <x v="2"/>
    <x v="2"/>
    <n v="553.55999999999995"/>
    <x v="527"/>
    <x v="2"/>
    <x v="1"/>
    <x v="810"/>
    <x v="3"/>
    <x v="2"/>
    <x v="1"/>
    <n v="553.55999999999995"/>
  </r>
  <r>
    <s v="ORD200811"/>
    <x v="212"/>
    <x v="807"/>
    <x v="5"/>
    <x v="1"/>
    <n v="28.55"/>
    <x v="497"/>
    <x v="3"/>
    <x v="0"/>
    <x v="811"/>
    <x v="0"/>
    <x v="0"/>
    <x v="2"/>
    <n v="57.1"/>
  </r>
  <r>
    <s v="ORD200812"/>
    <x v="547"/>
    <x v="808"/>
    <x v="1"/>
    <x v="1"/>
    <n v="255.26"/>
    <x v="228"/>
    <x v="2"/>
    <x v="1"/>
    <x v="812"/>
    <x v="5"/>
    <x v="1"/>
    <x v="4"/>
    <n v="510.52"/>
  </r>
  <r>
    <s v="ORD200813"/>
    <x v="175"/>
    <x v="809"/>
    <x v="5"/>
    <x v="0"/>
    <n v="292.54000000000002"/>
    <x v="239"/>
    <x v="0"/>
    <x v="1"/>
    <x v="813"/>
    <x v="2"/>
    <x v="1"/>
    <x v="2"/>
    <n v="1462.7"/>
  </r>
  <r>
    <s v="ORD200814"/>
    <x v="218"/>
    <x v="810"/>
    <x v="3"/>
    <x v="3"/>
    <n v="147.51"/>
    <x v="528"/>
    <x v="0"/>
    <x v="4"/>
    <x v="814"/>
    <x v="4"/>
    <x v="3"/>
    <x v="0"/>
    <n v="590.04"/>
  </r>
  <r>
    <s v="ORD200815"/>
    <x v="548"/>
    <x v="811"/>
    <x v="4"/>
    <x v="4"/>
    <n v="569.84"/>
    <x v="529"/>
    <x v="3"/>
    <x v="1"/>
    <x v="815"/>
    <x v="2"/>
    <x v="3"/>
    <x v="0"/>
    <n v="1709.52"/>
  </r>
  <r>
    <s v="ORD200816"/>
    <x v="444"/>
    <x v="812"/>
    <x v="2"/>
    <x v="0"/>
    <n v="574.79"/>
    <x v="191"/>
    <x v="2"/>
    <x v="4"/>
    <x v="816"/>
    <x v="2"/>
    <x v="3"/>
    <x v="1"/>
    <n v="2873.95"/>
  </r>
  <r>
    <s v="ORD200817"/>
    <x v="469"/>
    <x v="813"/>
    <x v="3"/>
    <x v="3"/>
    <n v="598.19000000000005"/>
    <x v="530"/>
    <x v="2"/>
    <x v="3"/>
    <x v="817"/>
    <x v="0"/>
    <x v="3"/>
    <x v="2"/>
    <n v="2392.7600000000002"/>
  </r>
  <r>
    <s v="ORD200818"/>
    <x v="521"/>
    <x v="814"/>
    <x v="1"/>
    <x v="3"/>
    <n v="390.84"/>
    <x v="458"/>
    <x v="2"/>
    <x v="1"/>
    <x v="818"/>
    <x v="6"/>
    <x v="3"/>
    <x v="1"/>
    <n v="1563.36"/>
  </r>
  <r>
    <s v="ORD200819"/>
    <x v="335"/>
    <x v="815"/>
    <x v="1"/>
    <x v="1"/>
    <n v="398.45"/>
    <x v="531"/>
    <x v="0"/>
    <x v="1"/>
    <x v="819"/>
    <x v="0"/>
    <x v="0"/>
    <x v="4"/>
    <n v="796.9"/>
  </r>
  <r>
    <s v="ORD200820"/>
    <x v="156"/>
    <x v="816"/>
    <x v="1"/>
    <x v="0"/>
    <n v="623.80999999999995"/>
    <x v="296"/>
    <x v="4"/>
    <x v="2"/>
    <x v="820"/>
    <x v="5"/>
    <x v="1"/>
    <x v="2"/>
    <n v="3119.05"/>
  </r>
  <r>
    <s v="ORD200821"/>
    <x v="549"/>
    <x v="817"/>
    <x v="5"/>
    <x v="3"/>
    <n v="174.49"/>
    <x v="288"/>
    <x v="2"/>
    <x v="3"/>
    <x v="821"/>
    <x v="3"/>
    <x v="0"/>
    <x v="3"/>
    <n v="697.96"/>
  </r>
  <r>
    <s v="ORD200822"/>
    <x v="175"/>
    <x v="818"/>
    <x v="1"/>
    <x v="2"/>
    <n v="479.56"/>
    <x v="66"/>
    <x v="3"/>
    <x v="2"/>
    <x v="822"/>
    <x v="9"/>
    <x v="0"/>
    <x v="4"/>
    <n v="479.56"/>
  </r>
  <r>
    <s v="ORD200823"/>
    <x v="550"/>
    <x v="819"/>
    <x v="5"/>
    <x v="3"/>
    <n v="653.13"/>
    <x v="532"/>
    <x v="2"/>
    <x v="0"/>
    <x v="823"/>
    <x v="2"/>
    <x v="3"/>
    <x v="0"/>
    <n v="2612.52"/>
  </r>
  <r>
    <s v="ORD200824"/>
    <x v="193"/>
    <x v="820"/>
    <x v="0"/>
    <x v="4"/>
    <n v="481.1"/>
    <x v="533"/>
    <x v="2"/>
    <x v="2"/>
    <x v="824"/>
    <x v="1"/>
    <x v="1"/>
    <x v="3"/>
    <n v="1443.3"/>
  </r>
  <r>
    <s v="ORD200825"/>
    <x v="18"/>
    <x v="821"/>
    <x v="6"/>
    <x v="0"/>
    <n v="271.69"/>
    <x v="534"/>
    <x v="1"/>
    <x v="2"/>
    <x v="825"/>
    <x v="0"/>
    <x v="1"/>
    <x v="0"/>
    <n v="1358.45"/>
  </r>
  <r>
    <s v="ORD200826"/>
    <x v="177"/>
    <x v="822"/>
    <x v="4"/>
    <x v="4"/>
    <n v="463.81"/>
    <x v="160"/>
    <x v="1"/>
    <x v="2"/>
    <x v="826"/>
    <x v="2"/>
    <x v="3"/>
    <x v="2"/>
    <n v="1391.43"/>
  </r>
  <r>
    <s v="ORD200827"/>
    <x v="551"/>
    <x v="823"/>
    <x v="2"/>
    <x v="1"/>
    <n v="639.88"/>
    <x v="187"/>
    <x v="4"/>
    <x v="3"/>
    <x v="827"/>
    <x v="3"/>
    <x v="3"/>
    <x v="0"/>
    <n v="1279.76"/>
  </r>
  <r>
    <s v="ORD200828"/>
    <x v="25"/>
    <x v="824"/>
    <x v="3"/>
    <x v="3"/>
    <n v="404.58"/>
    <x v="535"/>
    <x v="4"/>
    <x v="0"/>
    <x v="828"/>
    <x v="3"/>
    <x v="1"/>
    <x v="0"/>
    <n v="1618.32"/>
  </r>
  <r>
    <s v="ORD200829"/>
    <x v="483"/>
    <x v="825"/>
    <x v="0"/>
    <x v="2"/>
    <n v="76.930000000000007"/>
    <x v="536"/>
    <x v="0"/>
    <x v="3"/>
    <x v="829"/>
    <x v="5"/>
    <x v="3"/>
    <x v="0"/>
    <n v="76.930000000000007"/>
  </r>
  <r>
    <s v="ORD200830"/>
    <x v="218"/>
    <x v="826"/>
    <x v="2"/>
    <x v="3"/>
    <n v="190.64"/>
    <x v="537"/>
    <x v="4"/>
    <x v="3"/>
    <x v="830"/>
    <x v="3"/>
    <x v="0"/>
    <x v="2"/>
    <n v="762.56"/>
  </r>
  <r>
    <s v="ORD200831"/>
    <x v="552"/>
    <x v="827"/>
    <x v="4"/>
    <x v="1"/>
    <n v="88.73"/>
    <x v="441"/>
    <x v="1"/>
    <x v="4"/>
    <x v="831"/>
    <x v="3"/>
    <x v="2"/>
    <x v="4"/>
    <n v="177.46"/>
  </r>
  <r>
    <s v="ORD200832"/>
    <x v="553"/>
    <x v="828"/>
    <x v="3"/>
    <x v="0"/>
    <n v="485.71"/>
    <x v="13"/>
    <x v="1"/>
    <x v="4"/>
    <x v="832"/>
    <x v="8"/>
    <x v="0"/>
    <x v="1"/>
    <n v="2428.5500000000002"/>
  </r>
  <r>
    <s v="ORD200833"/>
    <x v="387"/>
    <x v="829"/>
    <x v="1"/>
    <x v="0"/>
    <n v="78.290000000000006"/>
    <x v="538"/>
    <x v="2"/>
    <x v="0"/>
    <x v="833"/>
    <x v="3"/>
    <x v="3"/>
    <x v="1"/>
    <n v="391.45"/>
  </r>
  <r>
    <s v="ORD200834"/>
    <x v="166"/>
    <x v="830"/>
    <x v="4"/>
    <x v="0"/>
    <n v="22.14"/>
    <x v="206"/>
    <x v="4"/>
    <x v="2"/>
    <x v="834"/>
    <x v="8"/>
    <x v="2"/>
    <x v="0"/>
    <n v="110.7"/>
  </r>
  <r>
    <s v="ORD200835"/>
    <x v="290"/>
    <x v="831"/>
    <x v="6"/>
    <x v="2"/>
    <n v="679.65"/>
    <x v="539"/>
    <x v="0"/>
    <x v="0"/>
    <x v="835"/>
    <x v="5"/>
    <x v="1"/>
    <x v="4"/>
    <n v="679.65"/>
  </r>
  <r>
    <s v="ORD200836"/>
    <x v="488"/>
    <x v="832"/>
    <x v="1"/>
    <x v="2"/>
    <n v="178.44"/>
    <x v="450"/>
    <x v="2"/>
    <x v="1"/>
    <x v="836"/>
    <x v="7"/>
    <x v="1"/>
    <x v="4"/>
    <n v="178.44"/>
  </r>
  <r>
    <s v="ORD200837"/>
    <x v="554"/>
    <x v="833"/>
    <x v="3"/>
    <x v="0"/>
    <n v="655.55"/>
    <x v="429"/>
    <x v="1"/>
    <x v="3"/>
    <x v="837"/>
    <x v="3"/>
    <x v="2"/>
    <x v="2"/>
    <n v="3277.75"/>
  </r>
  <r>
    <s v="ORD200838"/>
    <x v="166"/>
    <x v="834"/>
    <x v="6"/>
    <x v="3"/>
    <n v="577.08000000000004"/>
    <x v="65"/>
    <x v="1"/>
    <x v="4"/>
    <x v="838"/>
    <x v="2"/>
    <x v="2"/>
    <x v="3"/>
    <n v="2308.3200000000002"/>
  </r>
  <r>
    <s v="ORD200839"/>
    <x v="318"/>
    <x v="835"/>
    <x v="3"/>
    <x v="4"/>
    <n v="197.97"/>
    <x v="492"/>
    <x v="1"/>
    <x v="1"/>
    <x v="839"/>
    <x v="3"/>
    <x v="2"/>
    <x v="4"/>
    <n v="593.91"/>
  </r>
  <r>
    <s v="ORD200840"/>
    <x v="555"/>
    <x v="836"/>
    <x v="3"/>
    <x v="4"/>
    <n v="411.95"/>
    <x v="364"/>
    <x v="2"/>
    <x v="3"/>
    <x v="840"/>
    <x v="0"/>
    <x v="1"/>
    <x v="1"/>
    <n v="1235.8499999999999"/>
  </r>
  <r>
    <s v="ORD200841"/>
    <x v="556"/>
    <x v="837"/>
    <x v="4"/>
    <x v="1"/>
    <n v="443.22"/>
    <x v="540"/>
    <x v="2"/>
    <x v="3"/>
    <x v="841"/>
    <x v="3"/>
    <x v="2"/>
    <x v="3"/>
    <n v="886.44"/>
  </r>
  <r>
    <s v="ORD200842"/>
    <x v="106"/>
    <x v="838"/>
    <x v="5"/>
    <x v="4"/>
    <n v="364.14"/>
    <x v="467"/>
    <x v="1"/>
    <x v="4"/>
    <x v="842"/>
    <x v="0"/>
    <x v="3"/>
    <x v="1"/>
    <n v="1092.42"/>
  </r>
  <r>
    <s v="ORD200843"/>
    <x v="557"/>
    <x v="839"/>
    <x v="6"/>
    <x v="4"/>
    <n v="430.06"/>
    <x v="541"/>
    <x v="3"/>
    <x v="1"/>
    <x v="843"/>
    <x v="2"/>
    <x v="1"/>
    <x v="0"/>
    <n v="1290.18"/>
  </r>
  <r>
    <s v="ORD200844"/>
    <x v="558"/>
    <x v="840"/>
    <x v="3"/>
    <x v="2"/>
    <n v="320.92"/>
    <x v="542"/>
    <x v="1"/>
    <x v="2"/>
    <x v="844"/>
    <x v="3"/>
    <x v="1"/>
    <x v="3"/>
    <n v="320.92"/>
  </r>
  <r>
    <s v="ORD200845"/>
    <x v="345"/>
    <x v="841"/>
    <x v="1"/>
    <x v="4"/>
    <n v="107.36"/>
    <x v="543"/>
    <x v="3"/>
    <x v="3"/>
    <x v="845"/>
    <x v="3"/>
    <x v="1"/>
    <x v="4"/>
    <n v="322.08"/>
  </r>
  <r>
    <s v="ORD200846"/>
    <x v="502"/>
    <x v="842"/>
    <x v="6"/>
    <x v="1"/>
    <n v="359.86"/>
    <x v="544"/>
    <x v="0"/>
    <x v="1"/>
    <x v="846"/>
    <x v="4"/>
    <x v="2"/>
    <x v="1"/>
    <n v="719.72"/>
  </r>
  <r>
    <s v="ORD200847"/>
    <x v="249"/>
    <x v="843"/>
    <x v="4"/>
    <x v="3"/>
    <n v="434.23"/>
    <x v="247"/>
    <x v="1"/>
    <x v="0"/>
    <x v="847"/>
    <x v="2"/>
    <x v="1"/>
    <x v="2"/>
    <n v="1736.92"/>
  </r>
  <r>
    <s v="ORD200848"/>
    <x v="107"/>
    <x v="844"/>
    <x v="3"/>
    <x v="1"/>
    <n v="645.85"/>
    <x v="56"/>
    <x v="1"/>
    <x v="0"/>
    <x v="848"/>
    <x v="3"/>
    <x v="2"/>
    <x v="1"/>
    <n v="1291.7"/>
  </r>
  <r>
    <s v="ORD200849"/>
    <x v="559"/>
    <x v="845"/>
    <x v="4"/>
    <x v="3"/>
    <n v="214.35"/>
    <x v="533"/>
    <x v="0"/>
    <x v="1"/>
    <x v="849"/>
    <x v="0"/>
    <x v="3"/>
    <x v="1"/>
    <n v="857.4"/>
  </r>
  <r>
    <s v="ORD200850"/>
    <x v="560"/>
    <x v="846"/>
    <x v="0"/>
    <x v="4"/>
    <n v="638.5"/>
    <x v="483"/>
    <x v="0"/>
    <x v="1"/>
    <x v="850"/>
    <x v="4"/>
    <x v="1"/>
    <x v="0"/>
    <n v="1915.5"/>
  </r>
  <r>
    <s v="ORD200851"/>
    <x v="427"/>
    <x v="847"/>
    <x v="5"/>
    <x v="2"/>
    <n v="365.57"/>
    <x v="72"/>
    <x v="1"/>
    <x v="1"/>
    <x v="851"/>
    <x v="3"/>
    <x v="0"/>
    <x v="2"/>
    <n v="365.57"/>
  </r>
  <r>
    <s v="ORD200852"/>
    <x v="101"/>
    <x v="848"/>
    <x v="6"/>
    <x v="4"/>
    <n v="568.04999999999995"/>
    <x v="545"/>
    <x v="3"/>
    <x v="4"/>
    <x v="852"/>
    <x v="5"/>
    <x v="0"/>
    <x v="4"/>
    <n v="1704.15"/>
  </r>
  <r>
    <s v="ORD200853"/>
    <x v="504"/>
    <x v="849"/>
    <x v="4"/>
    <x v="4"/>
    <n v="490.01"/>
    <x v="253"/>
    <x v="4"/>
    <x v="2"/>
    <x v="853"/>
    <x v="4"/>
    <x v="0"/>
    <x v="3"/>
    <n v="1470.03"/>
  </r>
  <r>
    <s v="ORD200854"/>
    <x v="399"/>
    <x v="850"/>
    <x v="5"/>
    <x v="4"/>
    <n v="372.6"/>
    <x v="349"/>
    <x v="2"/>
    <x v="3"/>
    <x v="854"/>
    <x v="0"/>
    <x v="3"/>
    <x v="1"/>
    <n v="1117.8"/>
  </r>
  <r>
    <s v="ORD200855"/>
    <x v="551"/>
    <x v="851"/>
    <x v="0"/>
    <x v="0"/>
    <n v="240.61"/>
    <x v="214"/>
    <x v="2"/>
    <x v="0"/>
    <x v="855"/>
    <x v="8"/>
    <x v="1"/>
    <x v="2"/>
    <n v="1203.05"/>
  </r>
  <r>
    <s v="ORD200856"/>
    <x v="561"/>
    <x v="852"/>
    <x v="1"/>
    <x v="2"/>
    <n v="586.62"/>
    <x v="42"/>
    <x v="0"/>
    <x v="0"/>
    <x v="856"/>
    <x v="3"/>
    <x v="2"/>
    <x v="3"/>
    <n v="586.62"/>
  </r>
  <r>
    <s v="ORD200857"/>
    <x v="416"/>
    <x v="853"/>
    <x v="1"/>
    <x v="4"/>
    <n v="257.83999999999997"/>
    <x v="184"/>
    <x v="1"/>
    <x v="3"/>
    <x v="857"/>
    <x v="4"/>
    <x v="2"/>
    <x v="0"/>
    <n v="773.52"/>
  </r>
  <r>
    <s v="ORD200858"/>
    <x v="38"/>
    <x v="854"/>
    <x v="2"/>
    <x v="0"/>
    <n v="435.66"/>
    <x v="18"/>
    <x v="1"/>
    <x v="4"/>
    <x v="858"/>
    <x v="6"/>
    <x v="2"/>
    <x v="3"/>
    <n v="2178.3000000000002"/>
  </r>
  <r>
    <s v="ORD200859"/>
    <x v="562"/>
    <x v="855"/>
    <x v="3"/>
    <x v="0"/>
    <n v="261.33"/>
    <x v="432"/>
    <x v="2"/>
    <x v="2"/>
    <x v="859"/>
    <x v="3"/>
    <x v="0"/>
    <x v="1"/>
    <n v="1306.6500000000001"/>
  </r>
  <r>
    <s v="ORD200860"/>
    <x v="514"/>
    <x v="856"/>
    <x v="4"/>
    <x v="2"/>
    <n v="422.54"/>
    <x v="289"/>
    <x v="4"/>
    <x v="3"/>
    <x v="860"/>
    <x v="9"/>
    <x v="0"/>
    <x v="4"/>
    <n v="422.54"/>
  </r>
  <r>
    <s v="ORD200861"/>
    <x v="111"/>
    <x v="857"/>
    <x v="6"/>
    <x v="0"/>
    <n v="330.45"/>
    <x v="546"/>
    <x v="3"/>
    <x v="0"/>
    <x v="861"/>
    <x v="8"/>
    <x v="1"/>
    <x v="4"/>
    <n v="1652.25"/>
  </r>
  <r>
    <s v="ORD200862"/>
    <x v="278"/>
    <x v="858"/>
    <x v="6"/>
    <x v="4"/>
    <n v="120.82"/>
    <x v="472"/>
    <x v="2"/>
    <x v="0"/>
    <x v="862"/>
    <x v="3"/>
    <x v="0"/>
    <x v="1"/>
    <n v="362.46"/>
  </r>
  <r>
    <s v="ORD200863"/>
    <x v="199"/>
    <x v="859"/>
    <x v="1"/>
    <x v="2"/>
    <n v="14.06"/>
    <x v="215"/>
    <x v="2"/>
    <x v="4"/>
    <x v="863"/>
    <x v="3"/>
    <x v="0"/>
    <x v="1"/>
    <n v="14.06"/>
  </r>
  <r>
    <s v="ORD200864"/>
    <x v="71"/>
    <x v="860"/>
    <x v="6"/>
    <x v="2"/>
    <n v="491.11"/>
    <x v="547"/>
    <x v="2"/>
    <x v="3"/>
    <x v="864"/>
    <x v="4"/>
    <x v="0"/>
    <x v="3"/>
    <n v="491.11"/>
  </r>
  <r>
    <s v="ORD200865"/>
    <x v="563"/>
    <x v="861"/>
    <x v="0"/>
    <x v="3"/>
    <n v="677.37"/>
    <x v="548"/>
    <x v="4"/>
    <x v="4"/>
    <x v="865"/>
    <x v="2"/>
    <x v="0"/>
    <x v="4"/>
    <n v="2709.48"/>
  </r>
  <r>
    <s v="ORD200866"/>
    <x v="503"/>
    <x v="862"/>
    <x v="6"/>
    <x v="0"/>
    <n v="189.25"/>
    <x v="549"/>
    <x v="0"/>
    <x v="1"/>
    <x v="866"/>
    <x v="8"/>
    <x v="3"/>
    <x v="2"/>
    <n v="946.25"/>
  </r>
  <r>
    <s v="ORD200867"/>
    <x v="564"/>
    <x v="863"/>
    <x v="4"/>
    <x v="3"/>
    <n v="142.58000000000001"/>
    <x v="550"/>
    <x v="4"/>
    <x v="3"/>
    <x v="867"/>
    <x v="4"/>
    <x v="1"/>
    <x v="3"/>
    <n v="570.32000000000005"/>
  </r>
  <r>
    <s v="ORD200868"/>
    <x v="310"/>
    <x v="864"/>
    <x v="0"/>
    <x v="3"/>
    <n v="316.32"/>
    <x v="551"/>
    <x v="0"/>
    <x v="3"/>
    <x v="868"/>
    <x v="0"/>
    <x v="2"/>
    <x v="3"/>
    <n v="1265.28"/>
  </r>
  <r>
    <s v="ORD200869"/>
    <x v="537"/>
    <x v="865"/>
    <x v="6"/>
    <x v="1"/>
    <n v="533.95000000000005"/>
    <x v="156"/>
    <x v="1"/>
    <x v="3"/>
    <x v="869"/>
    <x v="3"/>
    <x v="3"/>
    <x v="4"/>
    <n v="1067.9000000000001"/>
  </r>
  <r>
    <s v="ORD200870"/>
    <x v="565"/>
    <x v="866"/>
    <x v="1"/>
    <x v="3"/>
    <n v="470.09"/>
    <x v="552"/>
    <x v="0"/>
    <x v="3"/>
    <x v="870"/>
    <x v="4"/>
    <x v="1"/>
    <x v="4"/>
    <n v="1880.36"/>
  </r>
  <r>
    <s v="ORD200871"/>
    <x v="149"/>
    <x v="867"/>
    <x v="2"/>
    <x v="4"/>
    <n v="324.3"/>
    <x v="553"/>
    <x v="0"/>
    <x v="4"/>
    <x v="871"/>
    <x v="2"/>
    <x v="1"/>
    <x v="2"/>
    <n v="972.90000000000009"/>
  </r>
  <r>
    <s v="ORD200872"/>
    <x v="566"/>
    <x v="868"/>
    <x v="3"/>
    <x v="3"/>
    <n v="629.34"/>
    <x v="180"/>
    <x v="4"/>
    <x v="0"/>
    <x v="872"/>
    <x v="0"/>
    <x v="2"/>
    <x v="2"/>
    <n v="2517.36"/>
  </r>
  <r>
    <s v="ORD200873"/>
    <x v="258"/>
    <x v="869"/>
    <x v="6"/>
    <x v="4"/>
    <n v="136.84"/>
    <x v="554"/>
    <x v="4"/>
    <x v="3"/>
    <x v="873"/>
    <x v="1"/>
    <x v="0"/>
    <x v="3"/>
    <n v="410.52"/>
  </r>
  <r>
    <s v="ORD200874"/>
    <x v="150"/>
    <x v="870"/>
    <x v="3"/>
    <x v="1"/>
    <n v="488.9"/>
    <x v="476"/>
    <x v="4"/>
    <x v="3"/>
    <x v="874"/>
    <x v="0"/>
    <x v="1"/>
    <x v="3"/>
    <n v="977.8"/>
  </r>
  <r>
    <s v="ORD200875"/>
    <x v="567"/>
    <x v="871"/>
    <x v="5"/>
    <x v="0"/>
    <n v="133.38999999999999"/>
    <x v="86"/>
    <x v="2"/>
    <x v="3"/>
    <x v="875"/>
    <x v="5"/>
    <x v="1"/>
    <x v="1"/>
    <n v="666.94999999999993"/>
  </r>
  <r>
    <s v="ORD200876"/>
    <x v="410"/>
    <x v="872"/>
    <x v="3"/>
    <x v="0"/>
    <n v="608.91"/>
    <x v="490"/>
    <x v="3"/>
    <x v="4"/>
    <x v="876"/>
    <x v="5"/>
    <x v="0"/>
    <x v="4"/>
    <n v="3044.55"/>
  </r>
  <r>
    <s v="ORD200877"/>
    <x v="568"/>
    <x v="873"/>
    <x v="2"/>
    <x v="2"/>
    <n v="524.05999999999995"/>
    <x v="437"/>
    <x v="0"/>
    <x v="4"/>
    <x v="877"/>
    <x v="1"/>
    <x v="1"/>
    <x v="2"/>
    <n v="524.05999999999995"/>
  </r>
  <r>
    <s v="ORD200878"/>
    <x v="569"/>
    <x v="874"/>
    <x v="6"/>
    <x v="1"/>
    <n v="330.69"/>
    <x v="555"/>
    <x v="1"/>
    <x v="1"/>
    <x v="878"/>
    <x v="3"/>
    <x v="0"/>
    <x v="4"/>
    <n v="661.38"/>
  </r>
  <r>
    <s v="ORD200879"/>
    <x v="428"/>
    <x v="875"/>
    <x v="1"/>
    <x v="1"/>
    <n v="547.66999999999996"/>
    <x v="407"/>
    <x v="3"/>
    <x v="0"/>
    <x v="879"/>
    <x v="1"/>
    <x v="2"/>
    <x v="0"/>
    <n v="1095.3399999999999"/>
  </r>
  <r>
    <s v="ORD200880"/>
    <x v="495"/>
    <x v="876"/>
    <x v="5"/>
    <x v="3"/>
    <n v="233.7"/>
    <x v="210"/>
    <x v="1"/>
    <x v="0"/>
    <x v="880"/>
    <x v="2"/>
    <x v="0"/>
    <x v="3"/>
    <n v="934.8"/>
  </r>
  <r>
    <s v="ORD200881"/>
    <x v="570"/>
    <x v="877"/>
    <x v="2"/>
    <x v="1"/>
    <n v="448.85"/>
    <x v="556"/>
    <x v="2"/>
    <x v="4"/>
    <x v="881"/>
    <x v="5"/>
    <x v="2"/>
    <x v="0"/>
    <n v="897.7"/>
  </r>
  <r>
    <s v="ORD200882"/>
    <x v="164"/>
    <x v="878"/>
    <x v="1"/>
    <x v="1"/>
    <n v="274.12"/>
    <x v="91"/>
    <x v="4"/>
    <x v="3"/>
    <x v="882"/>
    <x v="5"/>
    <x v="1"/>
    <x v="1"/>
    <n v="548.24"/>
  </r>
  <r>
    <s v="ORD200883"/>
    <x v="557"/>
    <x v="879"/>
    <x v="4"/>
    <x v="0"/>
    <n v="561.48"/>
    <x v="557"/>
    <x v="1"/>
    <x v="3"/>
    <x v="883"/>
    <x v="6"/>
    <x v="1"/>
    <x v="3"/>
    <n v="2807.4"/>
  </r>
  <r>
    <s v="ORD200884"/>
    <x v="571"/>
    <x v="880"/>
    <x v="3"/>
    <x v="2"/>
    <n v="595.54"/>
    <x v="558"/>
    <x v="3"/>
    <x v="0"/>
    <x v="884"/>
    <x v="4"/>
    <x v="2"/>
    <x v="0"/>
    <n v="595.54"/>
  </r>
  <r>
    <s v="ORD200885"/>
    <x v="158"/>
    <x v="881"/>
    <x v="5"/>
    <x v="3"/>
    <n v="515.59"/>
    <x v="559"/>
    <x v="2"/>
    <x v="0"/>
    <x v="885"/>
    <x v="0"/>
    <x v="1"/>
    <x v="4"/>
    <n v="2062.36"/>
  </r>
  <r>
    <s v="ORD200886"/>
    <x v="385"/>
    <x v="882"/>
    <x v="1"/>
    <x v="2"/>
    <n v="460.13"/>
    <x v="560"/>
    <x v="2"/>
    <x v="2"/>
    <x v="886"/>
    <x v="9"/>
    <x v="2"/>
    <x v="4"/>
    <n v="460.13"/>
  </r>
  <r>
    <s v="ORD200887"/>
    <x v="36"/>
    <x v="883"/>
    <x v="3"/>
    <x v="4"/>
    <n v="171.66"/>
    <x v="561"/>
    <x v="0"/>
    <x v="3"/>
    <x v="887"/>
    <x v="0"/>
    <x v="2"/>
    <x v="4"/>
    <n v="514.98"/>
  </r>
  <r>
    <s v="ORD200888"/>
    <x v="572"/>
    <x v="884"/>
    <x v="5"/>
    <x v="1"/>
    <n v="266.95"/>
    <x v="562"/>
    <x v="2"/>
    <x v="4"/>
    <x v="888"/>
    <x v="1"/>
    <x v="2"/>
    <x v="0"/>
    <n v="533.9"/>
  </r>
  <r>
    <s v="ORD200889"/>
    <x v="245"/>
    <x v="885"/>
    <x v="0"/>
    <x v="0"/>
    <n v="650.72"/>
    <x v="563"/>
    <x v="2"/>
    <x v="1"/>
    <x v="889"/>
    <x v="2"/>
    <x v="3"/>
    <x v="2"/>
    <n v="3253.6"/>
  </r>
  <r>
    <s v="ORD200890"/>
    <x v="178"/>
    <x v="886"/>
    <x v="5"/>
    <x v="4"/>
    <n v="439.53"/>
    <x v="371"/>
    <x v="0"/>
    <x v="4"/>
    <x v="890"/>
    <x v="3"/>
    <x v="2"/>
    <x v="4"/>
    <n v="1318.59"/>
  </r>
  <r>
    <s v="ORD200891"/>
    <x v="433"/>
    <x v="887"/>
    <x v="0"/>
    <x v="4"/>
    <n v="654.54"/>
    <x v="564"/>
    <x v="4"/>
    <x v="2"/>
    <x v="891"/>
    <x v="0"/>
    <x v="0"/>
    <x v="1"/>
    <n v="1963.62"/>
  </r>
  <r>
    <s v="ORD200892"/>
    <x v="573"/>
    <x v="888"/>
    <x v="6"/>
    <x v="2"/>
    <n v="394.53"/>
    <x v="565"/>
    <x v="4"/>
    <x v="0"/>
    <x v="892"/>
    <x v="7"/>
    <x v="1"/>
    <x v="1"/>
    <n v="394.53"/>
  </r>
  <r>
    <s v="ORD200893"/>
    <x v="574"/>
    <x v="889"/>
    <x v="0"/>
    <x v="2"/>
    <n v="678.01"/>
    <x v="386"/>
    <x v="4"/>
    <x v="4"/>
    <x v="893"/>
    <x v="4"/>
    <x v="1"/>
    <x v="1"/>
    <n v="678.01"/>
  </r>
  <r>
    <s v="ORD200894"/>
    <x v="575"/>
    <x v="890"/>
    <x v="2"/>
    <x v="4"/>
    <n v="575.01"/>
    <x v="401"/>
    <x v="1"/>
    <x v="1"/>
    <x v="894"/>
    <x v="2"/>
    <x v="3"/>
    <x v="0"/>
    <n v="1725.03"/>
  </r>
  <r>
    <s v="ORD200895"/>
    <x v="576"/>
    <x v="891"/>
    <x v="3"/>
    <x v="4"/>
    <n v="154.63999999999999"/>
    <x v="566"/>
    <x v="0"/>
    <x v="4"/>
    <x v="895"/>
    <x v="5"/>
    <x v="3"/>
    <x v="3"/>
    <n v="463.92"/>
  </r>
  <r>
    <s v="ORD200896"/>
    <x v="266"/>
    <x v="892"/>
    <x v="6"/>
    <x v="4"/>
    <n v="147.29"/>
    <x v="9"/>
    <x v="3"/>
    <x v="0"/>
    <x v="896"/>
    <x v="1"/>
    <x v="1"/>
    <x v="4"/>
    <n v="441.87"/>
  </r>
  <r>
    <s v="ORD200897"/>
    <x v="459"/>
    <x v="893"/>
    <x v="5"/>
    <x v="3"/>
    <n v="481.48"/>
    <x v="179"/>
    <x v="3"/>
    <x v="3"/>
    <x v="897"/>
    <x v="3"/>
    <x v="0"/>
    <x v="0"/>
    <n v="1925.92"/>
  </r>
  <r>
    <s v="ORD200898"/>
    <x v="376"/>
    <x v="894"/>
    <x v="0"/>
    <x v="4"/>
    <n v="158.37"/>
    <x v="540"/>
    <x v="4"/>
    <x v="0"/>
    <x v="898"/>
    <x v="5"/>
    <x v="2"/>
    <x v="1"/>
    <n v="475.11"/>
  </r>
  <r>
    <s v="ORD200899"/>
    <x v="577"/>
    <x v="895"/>
    <x v="4"/>
    <x v="1"/>
    <n v="323.37"/>
    <x v="64"/>
    <x v="1"/>
    <x v="4"/>
    <x v="899"/>
    <x v="1"/>
    <x v="0"/>
    <x v="0"/>
    <n v="646.74"/>
  </r>
  <r>
    <s v="ORD200900"/>
    <x v="492"/>
    <x v="896"/>
    <x v="5"/>
    <x v="0"/>
    <n v="73.83"/>
    <x v="392"/>
    <x v="0"/>
    <x v="4"/>
    <x v="900"/>
    <x v="6"/>
    <x v="2"/>
    <x v="0"/>
    <n v="369.15"/>
  </r>
  <r>
    <s v="ORD200901"/>
    <x v="578"/>
    <x v="897"/>
    <x v="2"/>
    <x v="2"/>
    <n v="458.63"/>
    <x v="89"/>
    <x v="0"/>
    <x v="2"/>
    <x v="901"/>
    <x v="4"/>
    <x v="3"/>
    <x v="1"/>
    <n v="458.63"/>
  </r>
  <r>
    <s v="ORD200902"/>
    <x v="579"/>
    <x v="898"/>
    <x v="0"/>
    <x v="3"/>
    <n v="180.25"/>
    <x v="59"/>
    <x v="0"/>
    <x v="1"/>
    <x v="902"/>
    <x v="0"/>
    <x v="2"/>
    <x v="3"/>
    <n v="721"/>
  </r>
  <r>
    <s v="ORD200903"/>
    <x v="209"/>
    <x v="899"/>
    <x v="0"/>
    <x v="4"/>
    <n v="473.49"/>
    <x v="522"/>
    <x v="2"/>
    <x v="4"/>
    <x v="903"/>
    <x v="0"/>
    <x v="2"/>
    <x v="2"/>
    <n v="1420.47"/>
  </r>
  <r>
    <s v="ORD200904"/>
    <x v="580"/>
    <x v="900"/>
    <x v="0"/>
    <x v="3"/>
    <n v="237.43"/>
    <x v="348"/>
    <x v="4"/>
    <x v="1"/>
    <x v="904"/>
    <x v="2"/>
    <x v="3"/>
    <x v="1"/>
    <n v="949.72"/>
  </r>
  <r>
    <s v="ORD200905"/>
    <x v="581"/>
    <x v="901"/>
    <x v="5"/>
    <x v="2"/>
    <n v="442.39"/>
    <x v="267"/>
    <x v="3"/>
    <x v="4"/>
    <x v="905"/>
    <x v="5"/>
    <x v="1"/>
    <x v="3"/>
    <n v="442.39"/>
  </r>
  <r>
    <s v="ORD200906"/>
    <x v="459"/>
    <x v="902"/>
    <x v="0"/>
    <x v="2"/>
    <n v="62.12"/>
    <x v="567"/>
    <x v="4"/>
    <x v="2"/>
    <x v="906"/>
    <x v="7"/>
    <x v="2"/>
    <x v="2"/>
    <n v="62.12"/>
  </r>
  <r>
    <s v="ORD200907"/>
    <x v="548"/>
    <x v="903"/>
    <x v="6"/>
    <x v="0"/>
    <n v="298.39"/>
    <x v="124"/>
    <x v="3"/>
    <x v="1"/>
    <x v="907"/>
    <x v="0"/>
    <x v="3"/>
    <x v="1"/>
    <n v="1491.95"/>
  </r>
  <r>
    <s v="ORD200908"/>
    <x v="138"/>
    <x v="904"/>
    <x v="6"/>
    <x v="1"/>
    <n v="697.93"/>
    <x v="157"/>
    <x v="2"/>
    <x v="1"/>
    <x v="908"/>
    <x v="7"/>
    <x v="0"/>
    <x v="4"/>
    <n v="1395.86"/>
  </r>
  <r>
    <s v="ORD200909"/>
    <x v="582"/>
    <x v="905"/>
    <x v="2"/>
    <x v="1"/>
    <n v="291.85000000000002"/>
    <x v="21"/>
    <x v="4"/>
    <x v="0"/>
    <x v="909"/>
    <x v="3"/>
    <x v="1"/>
    <x v="0"/>
    <n v="583.70000000000005"/>
  </r>
  <r>
    <s v="ORD200910"/>
    <x v="583"/>
    <x v="906"/>
    <x v="4"/>
    <x v="4"/>
    <n v="308.98"/>
    <x v="71"/>
    <x v="4"/>
    <x v="3"/>
    <x v="910"/>
    <x v="1"/>
    <x v="0"/>
    <x v="0"/>
    <n v="926.94"/>
  </r>
  <r>
    <s v="ORD200911"/>
    <x v="584"/>
    <x v="907"/>
    <x v="6"/>
    <x v="0"/>
    <n v="396.86"/>
    <x v="110"/>
    <x v="4"/>
    <x v="1"/>
    <x v="911"/>
    <x v="6"/>
    <x v="0"/>
    <x v="0"/>
    <n v="1984.3"/>
  </r>
  <r>
    <s v="ORD200912"/>
    <x v="585"/>
    <x v="908"/>
    <x v="6"/>
    <x v="1"/>
    <n v="139.69"/>
    <x v="82"/>
    <x v="1"/>
    <x v="2"/>
    <x v="912"/>
    <x v="0"/>
    <x v="1"/>
    <x v="2"/>
    <n v="279.38"/>
  </r>
  <r>
    <s v="ORD200913"/>
    <x v="223"/>
    <x v="909"/>
    <x v="4"/>
    <x v="0"/>
    <n v="475.95"/>
    <x v="173"/>
    <x v="2"/>
    <x v="2"/>
    <x v="913"/>
    <x v="2"/>
    <x v="3"/>
    <x v="3"/>
    <n v="2379.75"/>
  </r>
  <r>
    <s v="ORD200914"/>
    <x v="441"/>
    <x v="910"/>
    <x v="6"/>
    <x v="2"/>
    <n v="626.6"/>
    <x v="341"/>
    <x v="3"/>
    <x v="2"/>
    <x v="914"/>
    <x v="4"/>
    <x v="3"/>
    <x v="3"/>
    <n v="626.6"/>
  </r>
  <r>
    <s v="ORD200915"/>
    <x v="586"/>
    <x v="911"/>
    <x v="5"/>
    <x v="3"/>
    <n v="502.99"/>
    <x v="568"/>
    <x v="0"/>
    <x v="0"/>
    <x v="915"/>
    <x v="4"/>
    <x v="3"/>
    <x v="1"/>
    <n v="2011.96"/>
  </r>
  <r>
    <s v="ORD200916"/>
    <x v="587"/>
    <x v="912"/>
    <x v="4"/>
    <x v="0"/>
    <n v="578.83000000000004"/>
    <x v="503"/>
    <x v="4"/>
    <x v="2"/>
    <x v="916"/>
    <x v="5"/>
    <x v="2"/>
    <x v="1"/>
    <n v="2894.15"/>
  </r>
  <r>
    <s v="ORD200917"/>
    <x v="588"/>
    <x v="913"/>
    <x v="5"/>
    <x v="0"/>
    <n v="383.82"/>
    <x v="569"/>
    <x v="2"/>
    <x v="2"/>
    <x v="917"/>
    <x v="0"/>
    <x v="1"/>
    <x v="4"/>
    <n v="1919.1"/>
  </r>
  <r>
    <s v="ORD200918"/>
    <x v="53"/>
    <x v="914"/>
    <x v="5"/>
    <x v="0"/>
    <n v="368.25"/>
    <x v="7"/>
    <x v="1"/>
    <x v="3"/>
    <x v="918"/>
    <x v="3"/>
    <x v="2"/>
    <x v="0"/>
    <n v="1841.25"/>
  </r>
  <r>
    <s v="ORD200919"/>
    <x v="492"/>
    <x v="915"/>
    <x v="4"/>
    <x v="1"/>
    <n v="374.6"/>
    <x v="112"/>
    <x v="1"/>
    <x v="0"/>
    <x v="919"/>
    <x v="1"/>
    <x v="1"/>
    <x v="1"/>
    <n v="749.2"/>
  </r>
  <r>
    <s v="ORD200920"/>
    <x v="495"/>
    <x v="916"/>
    <x v="2"/>
    <x v="1"/>
    <n v="428.09"/>
    <x v="264"/>
    <x v="2"/>
    <x v="2"/>
    <x v="920"/>
    <x v="5"/>
    <x v="2"/>
    <x v="0"/>
    <n v="856.18"/>
  </r>
  <r>
    <s v="ORD200921"/>
    <x v="528"/>
    <x v="917"/>
    <x v="2"/>
    <x v="2"/>
    <n v="438.93"/>
    <x v="570"/>
    <x v="3"/>
    <x v="1"/>
    <x v="921"/>
    <x v="1"/>
    <x v="0"/>
    <x v="1"/>
    <n v="438.93"/>
  </r>
  <r>
    <s v="ORD200922"/>
    <x v="589"/>
    <x v="918"/>
    <x v="6"/>
    <x v="1"/>
    <n v="563.82000000000005"/>
    <x v="571"/>
    <x v="2"/>
    <x v="4"/>
    <x v="922"/>
    <x v="1"/>
    <x v="2"/>
    <x v="0"/>
    <n v="1127.6400000000001"/>
  </r>
  <r>
    <s v="ORD200923"/>
    <x v="91"/>
    <x v="919"/>
    <x v="4"/>
    <x v="4"/>
    <n v="649.92999999999995"/>
    <x v="569"/>
    <x v="2"/>
    <x v="4"/>
    <x v="923"/>
    <x v="0"/>
    <x v="3"/>
    <x v="3"/>
    <n v="1949.79"/>
  </r>
  <r>
    <s v="ORD200924"/>
    <x v="29"/>
    <x v="920"/>
    <x v="4"/>
    <x v="0"/>
    <n v="268.43"/>
    <x v="392"/>
    <x v="4"/>
    <x v="2"/>
    <x v="924"/>
    <x v="3"/>
    <x v="0"/>
    <x v="2"/>
    <n v="1342.15"/>
  </r>
  <r>
    <s v="ORD200925"/>
    <x v="590"/>
    <x v="921"/>
    <x v="0"/>
    <x v="0"/>
    <n v="502.47"/>
    <x v="323"/>
    <x v="1"/>
    <x v="0"/>
    <x v="925"/>
    <x v="8"/>
    <x v="3"/>
    <x v="2"/>
    <n v="2512.35"/>
  </r>
  <r>
    <s v="ORD200926"/>
    <x v="591"/>
    <x v="922"/>
    <x v="6"/>
    <x v="2"/>
    <n v="26.95"/>
    <x v="364"/>
    <x v="4"/>
    <x v="3"/>
    <x v="926"/>
    <x v="9"/>
    <x v="3"/>
    <x v="2"/>
    <n v="26.95"/>
  </r>
  <r>
    <s v="ORD200927"/>
    <x v="592"/>
    <x v="923"/>
    <x v="5"/>
    <x v="3"/>
    <n v="64.69"/>
    <x v="463"/>
    <x v="0"/>
    <x v="0"/>
    <x v="927"/>
    <x v="0"/>
    <x v="3"/>
    <x v="4"/>
    <n v="258.76"/>
  </r>
  <r>
    <s v="ORD200928"/>
    <x v="593"/>
    <x v="924"/>
    <x v="5"/>
    <x v="4"/>
    <n v="247.11"/>
    <x v="218"/>
    <x v="0"/>
    <x v="2"/>
    <x v="928"/>
    <x v="1"/>
    <x v="3"/>
    <x v="1"/>
    <n v="741.33"/>
  </r>
  <r>
    <s v="ORD200929"/>
    <x v="594"/>
    <x v="925"/>
    <x v="2"/>
    <x v="1"/>
    <n v="536.25"/>
    <x v="158"/>
    <x v="0"/>
    <x v="4"/>
    <x v="929"/>
    <x v="1"/>
    <x v="2"/>
    <x v="2"/>
    <n v="1072.5"/>
  </r>
  <r>
    <s v="ORD200930"/>
    <x v="393"/>
    <x v="926"/>
    <x v="1"/>
    <x v="1"/>
    <n v="456.04"/>
    <x v="17"/>
    <x v="0"/>
    <x v="2"/>
    <x v="930"/>
    <x v="4"/>
    <x v="1"/>
    <x v="2"/>
    <n v="912.08"/>
  </r>
  <r>
    <s v="ORD200931"/>
    <x v="543"/>
    <x v="927"/>
    <x v="4"/>
    <x v="1"/>
    <n v="40.229999999999997"/>
    <x v="50"/>
    <x v="2"/>
    <x v="1"/>
    <x v="931"/>
    <x v="4"/>
    <x v="0"/>
    <x v="4"/>
    <n v="80.459999999999994"/>
  </r>
  <r>
    <s v="ORD200932"/>
    <x v="465"/>
    <x v="928"/>
    <x v="5"/>
    <x v="1"/>
    <n v="72.39"/>
    <x v="572"/>
    <x v="1"/>
    <x v="3"/>
    <x v="932"/>
    <x v="0"/>
    <x v="3"/>
    <x v="0"/>
    <n v="144.78"/>
  </r>
  <r>
    <s v="ORD200933"/>
    <x v="595"/>
    <x v="929"/>
    <x v="0"/>
    <x v="1"/>
    <n v="394.16"/>
    <x v="207"/>
    <x v="1"/>
    <x v="0"/>
    <x v="933"/>
    <x v="7"/>
    <x v="2"/>
    <x v="1"/>
    <n v="788.32"/>
  </r>
  <r>
    <s v="ORD200934"/>
    <x v="565"/>
    <x v="930"/>
    <x v="5"/>
    <x v="3"/>
    <n v="119.84"/>
    <x v="194"/>
    <x v="3"/>
    <x v="0"/>
    <x v="934"/>
    <x v="2"/>
    <x v="1"/>
    <x v="1"/>
    <n v="479.36"/>
  </r>
  <r>
    <s v="ORD200935"/>
    <x v="254"/>
    <x v="931"/>
    <x v="1"/>
    <x v="4"/>
    <n v="692.71"/>
    <x v="282"/>
    <x v="2"/>
    <x v="3"/>
    <x v="935"/>
    <x v="1"/>
    <x v="1"/>
    <x v="0"/>
    <n v="2078.13"/>
  </r>
  <r>
    <s v="ORD200936"/>
    <x v="596"/>
    <x v="932"/>
    <x v="3"/>
    <x v="3"/>
    <n v="56.66"/>
    <x v="144"/>
    <x v="1"/>
    <x v="3"/>
    <x v="936"/>
    <x v="4"/>
    <x v="0"/>
    <x v="0"/>
    <n v="226.64"/>
  </r>
  <r>
    <s v="ORD200937"/>
    <x v="462"/>
    <x v="933"/>
    <x v="3"/>
    <x v="1"/>
    <n v="298.52999999999997"/>
    <x v="325"/>
    <x v="0"/>
    <x v="1"/>
    <x v="937"/>
    <x v="3"/>
    <x v="3"/>
    <x v="2"/>
    <n v="597.05999999999995"/>
  </r>
  <r>
    <s v="ORD200938"/>
    <x v="219"/>
    <x v="934"/>
    <x v="3"/>
    <x v="4"/>
    <n v="331.46"/>
    <x v="386"/>
    <x v="2"/>
    <x v="1"/>
    <x v="938"/>
    <x v="5"/>
    <x v="3"/>
    <x v="1"/>
    <n v="994.37999999999988"/>
  </r>
  <r>
    <s v="ORD200939"/>
    <x v="597"/>
    <x v="935"/>
    <x v="5"/>
    <x v="1"/>
    <n v="521.4"/>
    <x v="573"/>
    <x v="4"/>
    <x v="3"/>
    <x v="939"/>
    <x v="0"/>
    <x v="0"/>
    <x v="0"/>
    <n v="1042.8"/>
  </r>
  <r>
    <s v="ORD200940"/>
    <x v="14"/>
    <x v="936"/>
    <x v="4"/>
    <x v="3"/>
    <n v="305.32"/>
    <x v="574"/>
    <x v="1"/>
    <x v="1"/>
    <x v="940"/>
    <x v="4"/>
    <x v="0"/>
    <x v="4"/>
    <n v="1221.28"/>
  </r>
  <r>
    <s v="ORD200941"/>
    <x v="15"/>
    <x v="439"/>
    <x v="4"/>
    <x v="0"/>
    <n v="111.7"/>
    <x v="280"/>
    <x v="2"/>
    <x v="1"/>
    <x v="941"/>
    <x v="6"/>
    <x v="1"/>
    <x v="2"/>
    <n v="558.5"/>
  </r>
  <r>
    <s v="ORD200942"/>
    <x v="372"/>
    <x v="937"/>
    <x v="2"/>
    <x v="2"/>
    <n v="479.76"/>
    <x v="189"/>
    <x v="2"/>
    <x v="4"/>
    <x v="942"/>
    <x v="9"/>
    <x v="2"/>
    <x v="2"/>
    <n v="479.76"/>
  </r>
  <r>
    <s v="ORD200943"/>
    <x v="140"/>
    <x v="938"/>
    <x v="0"/>
    <x v="4"/>
    <n v="193.49"/>
    <x v="575"/>
    <x v="3"/>
    <x v="2"/>
    <x v="943"/>
    <x v="5"/>
    <x v="1"/>
    <x v="3"/>
    <n v="580.47"/>
  </r>
  <r>
    <s v="ORD200944"/>
    <x v="393"/>
    <x v="939"/>
    <x v="5"/>
    <x v="1"/>
    <n v="426.22"/>
    <x v="554"/>
    <x v="1"/>
    <x v="3"/>
    <x v="944"/>
    <x v="0"/>
    <x v="3"/>
    <x v="4"/>
    <n v="852.44"/>
  </r>
  <r>
    <s v="ORD200945"/>
    <x v="38"/>
    <x v="940"/>
    <x v="2"/>
    <x v="0"/>
    <n v="276.44"/>
    <x v="285"/>
    <x v="3"/>
    <x v="0"/>
    <x v="945"/>
    <x v="8"/>
    <x v="1"/>
    <x v="1"/>
    <n v="1382.2"/>
  </r>
  <r>
    <s v="ORD200946"/>
    <x v="598"/>
    <x v="941"/>
    <x v="1"/>
    <x v="1"/>
    <n v="404.96"/>
    <x v="274"/>
    <x v="4"/>
    <x v="0"/>
    <x v="946"/>
    <x v="4"/>
    <x v="0"/>
    <x v="2"/>
    <n v="809.92"/>
  </r>
  <r>
    <s v="ORD200947"/>
    <x v="599"/>
    <x v="942"/>
    <x v="1"/>
    <x v="3"/>
    <n v="465.66"/>
    <x v="232"/>
    <x v="1"/>
    <x v="2"/>
    <x v="947"/>
    <x v="6"/>
    <x v="1"/>
    <x v="2"/>
    <n v="1862.64"/>
  </r>
  <r>
    <s v="ORD200948"/>
    <x v="587"/>
    <x v="445"/>
    <x v="1"/>
    <x v="1"/>
    <n v="594.07000000000005"/>
    <x v="361"/>
    <x v="3"/>
    <x v="1"/>
    <x v="948"/>
    <x v="7"/>
    <x v="2"/>
    <x v="4"/>
    <n v="1188.1400000000001"/>
  </r>
  <r>
    <s v="ORD200949"/>
    <x v="576"/>
    <x v="943"/>
    <x v="6"/>
    <x v="0"/>
    <n v="110.38"/>
    <x v="322"/>
    <x v="4"/>
    <x v="4"/>
    <x v="949"/>
    <x v="8"/>
    <x v="2"/>
    <x v="1"/>
    <n v="551.9"/>
  </r>
  <r>
    <s v="ORD200950"/>
    <x v="583"/>
    <x v="944"/>
    <x v="5"/>
    <x v="2"/>
    <n v="596.24"/>
    <x v="18"/>
    <x v="2"/>
    <x v="2"/>
    <x v="950"/>
    <x v="4"/>
    <x v="1"/>
    <x v="0"/>
    <n v="596.24"/>
  </r>
  <r>
    <s v="ORD200951"/>
    <x v="319"/>
    <x v="945"/>
    <x v="4"/>
    <x v="1"/>
    <n v="306.24"/>
    <x v="227"/>
    <x v="1"/>
    <x v="2"/>
    <x v="951"/>
    <x v="4"/>
    <x v="1"/>
    <x v="2"/>
    <n v="612.48"/>
  </r>
  <r>
    <s v="ORD200952"/>
    <x v="37"/>
    <x v="946"/>
    <x v="0"/>
    <x v="4"/>
    <n v="503.39"/>
    <x v="576"/>
    <x v="1"/>
    <x v="4"/>
    <x v="952"/>
    <x v="3"/>
    <x v="2"/>
    <x v="3"/>
    <n v="1510.17"/>
  </r>
  <r>
    <s v="ORD200953"/>
    <x v="600"/>
    <x v="947"/>
    <x v="1"/>
    <x v="2"/>
    <n v="131.61000000000001"/>
    <x v="76"/>
    <x v="4"/>
    <x v="0"/>
    <x v="953"/>
    <x v="7"/>
    <x v="1"/>
    <x v="3"/>
    <n v="131.61000000000001"/>
  </r>
  <r>
    <s v="ORD200954"/>
    <x v="601"/>
    <x v="948"/>
    <x v="3"/>
    <x v="4"/>
    <n v="443.44"/>
    <x v="146"/>
    <x v="3"/>
    <x v="0"/>
    <x v="954"/>
    <x v="1"/>
    <x v="1"/>
    <x v="4"/>
    <n v="1330.32"/>
  </r>
  <r>
    <s v="ORD200955"/>
    <x v="19"/>
    <x v="949"/>
    <x v="3"/>
    <x v="2"/>
    <n v="408.13"/>
    <x v="213"/>
    <x v="3"/>
    <x v="0"/>
    <x v="955"/>
    <x v="1"/>
    <x v="3"/>
    <x v="0"/>
    <n v="408.13"/>
  </r>
  <r>
    <s v="ORD200956"/>
    <x v="166"/>
    <x v="781"/>
    <x v="1"/>
    <x v="1"/>
    <n v="160.97999999999999"/>
    <x v="577"/>
    <x v="0"/>
    <x v="3"/>
    <x v="956"/>
    <x v="1"/>
    <x v="0"/>
    <x v="1"/>
    <n v="321.95999999999998"/>
  </r>
  <r>
    <s v="ORD200957"/>
    <x v="602"/>
    <x v="950"/>
    <x v="0"/>
    <x v="0"/>
    <n v="643.89"/>
    <x v="578"/>
    <x v="4"/>
    <x v="2"/>
    <x v="957"/>
    <x v="2"/>
    <x v="3"/>
    <x v="3"/>
    <n v="3219.45"/>
  </r>
  <r>
    <s v="ORD200958"/>
    <x v="603"/>
    <x v="951"/>
    <x v="6"/>
    <x v="4"/>
    <n v="158.66"/>
    <x v="246"/>
    <x v="3"/>
    <x v="3"/>
    <x v="958"/>
    <x v="0"/>
    <x v="3"/>
    <x v="2"/>
    <n v="475.98"/>
  </r>
  <r>
    <s v="ORD200959"/>
    <x v="604"/>
    <x v="952"/>
    <x v="2"/>
    <x v="1"/>
    <n v="143.82"/>
    <x v="252"/>
    <x v="2"/>
    <x v="2"/>
    <x v="959"/>
    <x v="5"/>
    <x v="0"/>
    <x v="0"/>
    <n v="287.64"/>
  </r>
  <r>
    <s v="ORD200960"/>
    <x v="66"/>
    <x v="953"/>
    <x v="5"/>
    <x v="4"/>
    <n v="379.07"/>
    <x v="304"/>
    <x v="3"/>
    <x v="4"/>
    <x v="960"/>
    <x v="1"/>
    <x v="3"/>
    <x v="4"/>
    <n v="1137.21"/>
  </r>
  <r>
    <s v="ORD200961"/>
    <x v="435"/>
    <x v="954"/>
    <x v="1"/>
    <x v="2"/>
    <n v="601.36"/>
    <x v="275"/>
    <x v="1"/>
    <x v="0"/>
    <x v="961"/>
    <x v="9"/>
    <x v="2"/>
    <x v="3"/>
    <n v="601.36"/>
  </r>
  <r>
    <s v="ORD200962"/>
    <x v="605"/>
    <x v="955"/>
    <x v="1"/>
    <x v="1"/>
    <n v="142.08000000000001"/>
    <x v="211"/>
    <x v="3"/>
    <x v="3"/>
    <x v="962"/>
    <x v="4"/>
    <x v="0"/>
    <x v="1"/>
    <n v="284.16000000000003"/>
  </r>
  <r>
    <s v="ORD200963"/>
    <x v="606"/>
    <x v="956"/>
    <x v="3"/>
    <x v="0"/>
    <n v="530.34"/>
    <x v="162"/>
    <x v="1"/>
    <x v="0"/>
    <x v="963"/>
    <x v="6"/>
    <x v="1"/>
    <x v="4"/>
    <n v="2651.7"/>
  </r>
  <r>
    <s v="ORD200964"/>
    <x v="38"/>
    <x v="957"/>
    <x v="1"/>
    <x v="0"/>
    <n v="364.42"/>
    <x v="320"/>
    <x v="2"/>
    <x v="1"/>
    <x v="964"/>
    <x v="8"/>
    <x v="0"/>
    <x v="1"/>
    <n v="1822.1"/>
  </r>
  <r>
    <s v="ORD200965"/>
    <x v="607"/>
    <x v="958"/>
    <x v="5"/>
    <x v="3"/>
    <n v="578.28"/>
    <x v="231"/>
    <x v="3"/>
    <x v="1"/>
    <x v="965"/>
    <x v="3"/>
    <x v="1"/>
    <x v="2"/>
    <n v="2313.12"/>
  </r>
  <r>
    <s v="ORD200966"/>
    <x v="608"/>
    <x v="959"/>
    <x v="0"/>
    <x v="0"/>
    <n v="280.52"/>
    <x v="579"/>
    <x v="2"/>
    <x v="1"/>
    <x v="966"/>
    <x v="0"/>
    <x v="3"/>
    <x v="3"/>
    <n v="1402.6"/>
  </r>
  <r>
    <s v="ORD200967"/>
    <x v="138"/>
    <x v="960"/>
    <x v="2"/>
    <x v="0"/>
    <n v="638.91999999999996"/>
    <x v="580"/>
    <x v="2"/>
    <x v="2"/>
    <x v="967"/>
    <x v="3"/>
    <x v="1"/>
    <x v="4"/>
    <n v="3194.6"/>
  </r>
  <r>
    <s v="ORD200968"/>
    <x v="458"/>
    <x v="961"/>
    <x v="0"/>
    <x v="3"/>
    <n v="412.2"/>
    <x v="533"/>
    <x v="2"/>
    <x v="0"/>
    <x v="968"/>
    <x v="5"/>
    <x v="3"/>
    <x v="1"/>
    <n v="1648.8"/>
  </r>
  <r>
    <s v="ORD200969"/>
    <x v="85"/>
    <x v="962"/>
    <x v="6"/>
    <x v="2"/>
    <n v="440.34"/>
    <x v="581"/>
    <x v="3"/>
    <x v="0"/>
    <x v="969"/>
    <x v="7"/>
    <x v="3"/>
    <x v="3"/>
    <n v="440.34"/>
  </r>
  <r>
    <s v="ORD200970"/>
    <x v="609"/>
    <x v="963"/>
    <x v="6"/>
    <x v="2"/>
    <n v="627.15"/>
    <x v="582"/>
    <x v="4"/>
    <x v="3"/>
    <x v="970"/>
    <x v="3"/>
    <x v="0"/>
    <x v="0"/>
    <n v="627.15"/>
  </r>
  <r>
    <s v="ORD200971"/>
    <x v="582"/>
    <x v="964"/>
    <x v="0"/>
    <x v="1"/>
    <n v="605.26"/>
    <x v="5"/>
    <x v="4"/>
    <x v="1"/>
    <x v="971"/>
    <x v="4"/>
    <x v="3"/>
    <x v="1"/>
    <n v="1210.52"/>
  </r>
  <r>
    <s v="ORD200972"/>
    <x v="410"/>
    <x v="965"/>
    <x v="5"/>
    <x v="2"/>
    <n v="90.27"/>
    <x v="583"/>
    <x v="4"/>
    <x v="3"/>
    <x v="972"/>
    <x v="3"/>
    <x v="0"/>
    <x v="3"/>
    <n v="90.27"/>
  </r>
  <r>
    <s v="ORD200973"/>
    <x v="559"/>
    <x v="966"/>
    <x v="6"/>
    <x v="0"/>
    <n v="230.77"/>
    <x v="567"/>
    <x v="1"/>
    <x v="4"/>
    <x v="973"/>
    <x v="8"/>
    <x v="3"/>
    <x v="1"/>
    <n v="1153.8499999999999"/>
  </r>
  <r>
    <s v="ORD200974"/>
    <x v="610"/>
    <x v="967"/>
    <x v="6"/>
    <x v="0"/>
    <n v="266.77999999999997"/>
    <x v="263"/>
    <x v="3"/>
    <x v="1"/>
    <x v="974"/>
    <x v="3"/>
    <x v="2"/>
    <x v="2"/>
    <n v="1333.9"/>
  </r>
  <r>
    <s v="ORD200975"/>
    <x v="419"/>
    <x v="968"/>
    <x v="6"/>
    <x v="2"/>
    <n v="105.92"/>
    <x v="233"/>
    <x v="3"/>
    <x v="2"/>
    <x v="975"/>
    <x v="5"/>
    <x v="0"/>
    <x v="2"/>
    <n v="105.92"/>
  </r>
  <r>
    <s v="ORD200976"/>
    <x v="172"/>
    <x v="969"/>
    <x v="2"/>
    <x v="4"/>
    <n v="589.29999999999995"/>
    <x v="531"/>
    <x v="2"/>
    <x v="2"/>
    <x v="976"/>
    <x v="5"/>
    <x v="3"/>
    <x v="1"/>
    <n v="1767.9"/>
  </r>
  <r>
    <s v="ORD200977"/>
    <x v="423"/>
    <x v="970"/>
    <x v="3"/>
    <x v="3"/>
    <n v="649.47"/>
    <x v="584"/>
    <x v="4"/>
    <x v="4"/>
    <x v="977"/>
    <x v="2"/>
    <x v="0"/>
    <x v="4"/>
    <n v="2597.88"/>
  </r>
  <r>
    <s v="ORD200978"/>
    <x v="611"/>
    <x v="971"/>
    <x v="4"/>
    <x v="3"/>
    <n v="107.49"/>
    <x v="477"/>
    <x v="4"/>
    <x v="3"/>
    <x v="978"/>
    <x v="3"/>
    <x v="2"/>
    <x v="4"/>
    <n v="429.96"/>
  </r>
  <r>
    <s v="ORD200979"/>
    <x v="546"/>
    <x v="972"/>
    <x v="0"/>
    <x v="4"/>
    <n v="669.06"/>
    <x v="238"/>
    <x v="4"/>
    <x v="3"/>
    <x v="979"/>
    <x v="0"/>
    <x v="0"/>
    <x v="3"/>
    <n v="2007.18"/>
  </r>
  <r>
    <s v="ORD200980"/>
    <x v="612"/>
    <x v="973"/>
    <x v="3"/>
    <x v="4"/>
    <n v="69.650000000000006"/>
    <x v="585"/>
    <x v="4"/>
    <x v="3"/>
    <x v="980"/>
    <x v="0"/>
    <x v="3"/>
    <x v="0"/>
    <n v="208.95"/>
  </r>
  <r>
    <s v="ORD200981"/>
    <x v="371"/>
    <x v="974"/>
    <x v="1"/>
    <x v="3"/>
    <n v="136.83000000000001"/>
    <x v="586"/>
    <x v="0"/>
    <x v="4"/>
    <x v="981"/>
    <x v="2"/>
    <x v="0"/>
    <x v="2"/>
    <n v="547.32000000000005"/>
  </r>
  <r>
    <s v="ORD200982"/>
    <x v="605"/>
    <x v="975"/>
    <x v="0"/>
    <x v="2"/>
    <n v="304.11"/>
    <x v="479"/>
    <x v="3"/>
    <x v="0"/>
    <x v="982"/>
    <x v="7"/>
    <x v="0"/>
    <x v="1"/>
    <n v="304.11"/>
  </r>
  <r>
    <s v="ORD200983"/>
    <x v="167"/>
    <x v="976"/>
    <x v="0"/>
    <x v="3"/>
    <n v="296.27999999999997"/>
    <x v="587"/>
    <x v="3"/>
    <x v="0"/>
    <x v="983"/>
    <x v="3"/>
    <x v="0"/>
    <x v="2"/>
    <n v="1185.1199999999999"/>
  </r>
  <r>
    <s v="ORD200984"/>
    <x v="252"/>
    <x v="977"/>
    <x v="6"/>
    <x v="2"/>
    <n v="77.64"/>
    <x v="7"/>
    <x v="2"/>
    <x v="0"/>
    <x v="984"/>
    <x v="9"/>
    <x v="1"/>
    <x v="3"/>
    <n v="77.64"/>
  </r>
  <r>
    <s v="ORD200985"/>
    <x v="351"/>
    <x v="978"/>
    <x v="6"/>
    <x v="2"/>
    <n v="243.71"/>
    <x v="198"/>
    <x v="3"/>
    <x v="3"/>
    <x v="985"/>
    <x v="5"/>
    <x v="0"/>
    <x v="4"/>
    <n v="243.71"/>
  </r>
  <r>
    <s v="ORD200986"/>
    <x v="609"/>
    <x v="979"/>
    <x v="5"/>
    <x v="3"/>
    <n v="644.96"/>
    <x v="91"/>
    <x v="2"/>
    <x v="4"/>
    <x v="986"/>
    <x v="0"/>
    <x v="1"/>
    <x v="2"/>
    <n v="2579.84"/>
  </r>
  <r>
    <s v="ORD200987"/>
    <x v="85"/>
    <x v="980"/>
    <x v="1"/>
    <x v="0"/>
    <n v="283.73"/>
    <x v="342"/>
    <x v="3"/>
    <x v="4"/>
    <x v="987"/>
    <x v="2"/>
    <x v="1"/>
    <x v="0"/>
    <n v="1418.65"/>
  </r>
  <r>
    <s v="ORD200988"/>
    <x v="496"/>
    <x v="981"/>
    <x v="6"/>
    <x v="1"/>
    <n v="629.55999999999995"/>
    <x v="277"/>
    <x v="3"/>
    <x v="1"/>
    <x v="988"/>
    <x v="3"/>
    <x v="3"/>
    <x v="0"/>
    <n v="1259.1199999999999"/>
  </r>
  <r>
    <s v="ORD200989"/>
    <x v="613"/>
    <x v="982"/>
    <x v="5"/>
    <x v="3"/>
    <n v="246.11"/>
    <x v="588"/>
    <x v="2"/>
    <x v="4"/>
    <x v="989"/>
    <x v="4"/>
    <x v="0"/>
    <x v="0"/>
    <n v="984.44"/>
  </r>
  <r>
    <s v="ORD200990"/>
    <x v="614"/>
    <x v="983"/>
    <x v="1"/>
    <x v="1"/>
    <n v="418.26"/>
    <x v="589"/>
    <x v="0"/>
    <x v="4"/>
    <x v="990"/>
    <x v="7"/>
    <x v="0"/>
    <x v="4"/>
    <n v="836.52"/>
  </r>
  <r>
    <s v="ORD200991"/>
    <x v="593"/>
    <x v="984"/>
    <x v="6"/>
    <x v="0"/>
    <n v="127.18"/>
    <x v="128"/>
    <x v="0"/>
    <x v="1"/>
    <x v="991"/>
    <x v="8"/>
    <x v="1"/>
    <x v="4"/>
    <n v="635.90000000000009"/>
  </r>
  <r>
    <s v="ORD200992"/>
    <x v="615"/>
    <x v="985"/>
    <x v="4"/>
    <x v="4"/>
    <n v="586.21"/>
    <x v="133"/>
    <x v="3"/>
    <x v="4"/>
    <x v="992"/>
    <x v="4"/>
    <x v="3"/>
    <x v="1"/>
    <n v="1758.63"/>
  </r>
  <r>
    <s v="ORD200993"/>
    <x v="616"/>
    <x v="986"/>
    <x v="0"/>
    <x v="4"/>
    <n v="267.45"/>
    <x v="590"/>
    <x v="3"/>
    <x v="3"/>
    <x v="993"/>
    <x v="3"/>
    <x v="3"/>
    <x v="0"/>
    <n v="802.34999999999991"/>
  </r>
  <r>
    <s v="ORD200994"/>
    <x v="326"/>
    <x v="987"/>
    <x v="2"/>
    <x v="3"/>
    <n v="615.65"/>
    <x v="76"/>
    <x v="0"/>
    <x v="3"/>
    <x v="994"/>
    <x v="6"/>
    <x v="3"/>
    <x v="4"/>
    <n v="2462.6"/>
  </r>
  <r>
    <s v="ORD200995"/>
    <x v="134"/>
    <x v="988"/>
    <x v="0"/>
    <x v="1"/>
    <n v="113.29"/>
    <x v="391"/>
    <x v="4"/>
    <x v="4"/>
    <x v="995"/>
    <x v="3"/>
    <x v="0"/>
    <x v="3"/>
    <n v="226.58"/>
  </r>
  <r>
    <s v="ORD200996"/>
    <x v="578"/>
    <x v="989"/>
    <x v="0"/>
    <x v="3"/>
    <n v="473.86"/>
    <x v="267"/>
    <x v="0"/>
    <x v="3"/>
    <x v="996"/>
    <x v="0"/>
    <x v="0"/>
    <x v="3"/>
    <n v="1895.44"/>
  </r>
  <r>
    <s v="ORD200997"/>
    <x v="110"/>
    <x v="990"/>
    <x v="5"/>
    <x v="4"/>
    <n v="444.75"/>
    <x v="385"/>
    <x v="4"/>
    <x v="3"/>
    <x v="997"/>
    <x v="5"/>
    <x v="0"/>
    <x v="3"/>
    <n v="1334.25"/>
  </r>
  <r>
    <s v="ORD200998"/>
    <x v="213"/>
    <x v="991"/>
    <x v="1"/>
    <x v="1"/>
    <n v="183.67"/>
    <x v="204"/>
    <x v="0"/>
    <x v="1"/>
    <x v="998"/>
    <x v="5"/>
    <x v="0"/>
    <x v="4"/>
    <n v="367.34"/>
  </r>
  <r>
    <s v="ORD200999"/>
    <x v="478"/>
    <x v="992"/>
    <x v="4"/>
    <x v="2"/>
    <n v="483.38"/>
    <x v="331"/>
    <x v="4"/>
    <x v="4"/>
    <x v="999"/>
    <x v="5"/>
    <x v="1"/>
    <x v="4"/>
    <n v="483.38"/>
  </r>
  <r>
    <s v="ORD201000"/>
    <x v="617"/>
    <x v="993"/>
    <x v="4"/>
    <x v="0"/>
    <n v="260.93"/>
    <x v="591"/>
    <x v="1"/>
    <x v="3"/>
    <x v="1000"/>
    <x v="6"/>
    <x v="0"/>
    <x v="2"/>
    <n v="1304.6500000000001"/>
  </r>
  <r>
    <s v="ORD201001"/>
    <x v="618"/>
    <x v="994"/>
    <x v="4"/>
    <x v="1"/>
    <n v="253.68"/>
    <x v="108"/>
    <x v="3"/>
    <x v="0"/>
    <x v="1001"/>
    <x v="5"/>
    <x v="2"/>
    <x v="1"/>
    <n v="507.36"/>
  </r>
  <r>
    <s v="ORD201002"/>
    <x v="619"/>
    <x v="995"/>
    <x v="2"/>
    <x v="3"/>
    <n v="699.88"/>
    <x v="95"/>
    <x v="4"/>
    <x v="4"/>
    <x v="1002"/>
    <x v="3"/>
    <x v="3"/>
    <x v="1"/>
    <n v="2799.52"/>
  </r>
  <r>
    <s v="ORD201003"/>
    <x v="348"/>
    <x v="996"/>
    <x v="4"/>
    <x v="0"/>
    <n v="319.97000000000003"/>
    <x v="591"/>
    <x v="4"/>
    <x v="0"/>
    <x v="1003"/>
    <x v="0"/>
    <x v="0"/>
    <x v="4"/>
    <n v="1599.85"/>
  </r>
  <r>
    <s v="ORD201004"/>
    <x v="559"/>
    <x v="997"/>
    <x v="3"/>
    <x v="3"/>
    <n v="246.91"/>
    <x v="26"/>
    <x v="1"/>
    <x v="4"/>
    <x v="1004"/>
    <x v="2"/>
    <x v="0"/>
    <x v="1"/>
    <n v="987.64"/>
  </r>
  <r>
    <s v="ORD201005"/>
    <x v="521"/>
    <x v="998"/>
    <x v="4"/>
    <x v="4"/>
    <n v="392.85"/>
    <x v="519"/>
    <x v="2"/>
    <x v="2"/>
    <x v="1005"/>
    <x v="5"/>
    <x v="2"/>
    <x v="4"/>
    <n v="1178.55"/>
  </r>
  <r>
    <s v="ORD201006"/>
    <x v="582"/>
    <x v="999"/>
    <x v="2"/>
    <x v="0"/>
    <n v="420.98"/>
    <x v="458"/>
    <x v="4"/>
    <x v="3"/>
    <x v="1006"/>
    <x v="0"/>
    <x v="0"/>
    <x v="3"/>
    <n v="2104.9"/>
  </r>
  <r>
    <s v="ORD201007"/>
    <x v="591"/>
    <x v="485"/>
    <x v="0"/>
    <x v="1"/>
    <n v="73.260000000000005"/>
    <x v="89"/>
    <x v="4"/>
    <x v="4"/>
    <x v="1007"/>
    <x v="4"/>
    <x v="3"/>
    <x v="3"/>
    <n v="146.52000000000001"/>
  </r>
  <r>
    <s v="ORD201008"/>
    <x v="620"/>
    <x v="1000"/>
    <x v="0"/>
    <x v="4"/>
    <n v="410.88"/>
    <x v="506"/>
    <x v="4"/>
    <x v="3"/>
    <x v="1008"/>
    <x v="2"/>
    <x v="1"/>
    <x v="0"/>
    <n v="1232.6400000000001"/>
  </r>
  <r>
    <s v="ORD201009"/>
    <x v="621"/>
    <x v="1001"/>
    <x v="2"/>
    <x v="1"/>
    <n v="176.46"/>
    <x v="386"/>
    <x v="2"/>
    <x v="3"/>
    <x v="1009"/>
    <x v="7"/>
    <x v="1"/>
    <x v="2"/>
    <n v="352.92"/>
  </r>
  <r>
    <s v="ORD201010"/>
    <x v="622"/>
    <x v="1002"/>
    <x v="0"/>
    <x v="4"/>
    <n v="659.57"/>
    <x v="91"/>
    <x v="2"/>
    <x v="1"/>
    <x v="1010"/>
    <x v="5"/>
    <x v="0"/>
    <x v="2"/>
    <n v="1978.71"/>
  </r>
  <r>
    <s v="ORD201011"/>
    <x v="623"/>
    <x v="1003"/>
    <x v="1"/>
    <x v="1"/>
    <n v="478.36"/>
    <x v="236"/>
    <x v="1"/>
    <x v="0"/>
    <x v="1011"/>
    <x v="1"/>
    <x v="2"/>
    <x v="4"/>
    <n v="956.72"/>
  </r>
  <r>
    <s v="ORD201012"/>
    <x v="623"/>
    <x v="1004"/>
    <x v="4"/>
    <x v="3"/>
    <n v="30.05"/>
    <x v="266"/>
    <x v="1"/>
    <x v="2"/>
    <x v="1012"/>
    <x v="5"/>
    <x v="2"/>
    <x v="3"/>
    <n v="120.2"/>
  </r>
  <r>
    <s v="ORD201013"/>
    <x v="624"/>
    <x v="1005"/>
    <x v="5"/>
    <x v="3"/>
    <n v="300.56"/>
    <x v="53"/>
    <x v="4"/>
    <x v="1"/>
    <x v="1013"/>
    <x v="6"/>
    <x v="1"/>
    <x v="3"/>
    <n v="1202.24"/>
  </r>
  <r>
    <s v="ORD201014"/>
    <x v="389"/>
    <x v="1006"/>
    <x v="2"/>
    <x v="0"/>
    <n v="226.45"/>
    <x v="352"/>
    <x v="0"/>
    <x v="2"/>
    <x v="1014"/>
    <x v="5"/>
    <x v="1"/>
    <x v="2"/>
    <n v="1132.25"/>
  </r>
  <r>
    <s v="ORD201015"/>
    <x v="547"/>
    <x v="1007"/>
    <x v="4"/>
    <x v="1"/>
    <n v="349.4"/>
    <x v="428"/>
    <x v="1"/>
    <x v="0"/>
    <x v="1015"/>
    <x v="7"/>
    <x v="0"/>
    <x v="0"/>
    <n v="698.8"/>
  </r>
  <r>
    <s v="ORD201016"/>
    <x v="10"/>
    <x v="1008"/>
    <x v="2"/>
    <x v="0"/>
    <n v="268.77999999999997"/>
    <x v="592"/>
    <x v="0"/>
    <x v="3"/>
    <x v="1016"/>
    <x v="0"/>
    <x v="3"/>
    <x v="2"/>
    <n v="1343.9"/>
  </r>
  <r>
    <s v="ORD201017"/>
    <x v="625"/>
    <x v="1009"/>
    <x v="3"/>
    <x v="1"/>
    <n v="680.85"/>
    <x v="593"/>
    <x v="3"/>
    <x v="3"/>
    <x v="1017"/>
    <x v="5"/>
    <x v="1"/>
    <x v="1"/>
    <n v="1361.7"/>
  </r>
  <r>
    <s v="ORD201018"/>
    <x v="307"/>
    <x v="1010"/>
    <x v="5"/>
    <x v="4"/>
    <n v="182.48"/>
    <x v="594"/>
    <x v="4"/>
    <x v="3"/>
    <x v="1018"/>
    <x v="1"/>
    <x v="2"/>
    <x v="0"/>
    <n v="547.43999999999994"/>
  </r>
  <r>
    <s v="ORD201019"/>
    <x v="616"/>
    <x v="1011"/>
    <x v="6"/>
    <x v="2"/>
    <n v="277.08999999999997"/>
    <x v="284"/>
    <x v="4"/>
    <x v="2"/>
    <x v="1019"/>
    <x v="7"/>
    <x v="0"/>
    <x v="1"/>
    <n v="277.08999999999997"/>
  </r>
  <r>
    <s v="ORD201020"/>
    <x v="181"/>
    <x v="1012"/>
    <x v="2"/>
    <x v="1"/>
    <n v="26.5"/>
    <x v="304"/>
    <x v="1"/>
    <x v="3"/>
    <x v="1020"/>
    <x v="1"/>
    <x v="0"/>
    <x v="0"/>
    <n v="53"/>
  </r>
  <r>
    <s v="ORD201021"/>
    <x v="5"/>
    <x v="1013"/>
    <x v="1"/>
    <x v="4"/>
    <n v="315.27"/>
    <x v="551"/>
    <x v="2"/>
    <x v="1"/>
    <x v="1021"/>
    <x v="4"/>
    <x v="0"/>
    <x v="2"/>
    <n v="945.81"/>
  </r>
  <r>
    <s v="ORD201022"/>
    <x v="522"/>
    <x v="1014"/>
    <x v="2"/>
    <x v="4"/>
    <n v="450.98"/>
    <x v="467"/>
    <x v="2"/>
    <x v="0"/>
    <x v="1022"/>
    <x v="2"/>
    <x v="0"/>
    <x v="1"/>
    <n v="1352.94"/>
  </r>
  <r>
    <s v="ORD201023"/>
    <x v="296"/>
    <x v="1015"/>
    <x v="5"/>
    <x v="0"/>
    <n v="233.67"/>
    <x v="83"/>
    <x v="4"/>
    <x v="0"/>
    <x v="1023"/>
    <x v="8"/>
    <x v="2"/>
    <x v="1"/>
    <n v="1168.3499999999999"/>
  </r>
  <r>
    <s v="ORD201024"/>
    <x v="412"/>
    <x v="1016"/>
    <x v="3"/>
    <x v="4"/>
    <n v="367.75"/>
    <x v="359"/>
    <x v="4"/>
    <x v="4"/>
    <x v="1024"/>
    <x v="0"/>
    <x v="1"/>
    <x v="3"/>
    <n v="1103.25"/>
  </r>
  <r>
    <s v="ORD201025"/>
    <x v="271"/>
    <x v="1017"/>
    <x v="3"/>
    <x v="2"/>
    <n v="23.53"/>
    <x v="138"/>
    <x v="3"/>
    <x v="3"/>
    <x v="1025"/>
    <x v="7"/>
    <x v="1"/>
    <x v="0"/>
    <n v="23.53"/>
  </r>
  <r>
    <s v="ORD201026"/>
    <x v="31"/>
    <x v="1018"/>
    <x v="0"/>
    <x v="2"/>
    <n v="677.48"/>
    <x v="111"/>
    <x v="1"/>
    <x v="3"/>
    <x v="1026"/>
    <x v="9"/>
    <x v="3"/>
    <x v="3"/>
    <n v="677.48"/>
  </r>
  <r>
    <s v="ORD201027"/>
    <x v="626"/>
    <x v="1019"/>
    <x v="5"/>
    <x v="3"/>
    <n v="554.83000000000004"/>
    <x v="498"/>
    <x v="4"/>
    <x v="2"/>
    <x v="1027"/>
    <x v="5"/>
    <x v="2"/>
    <x v="4"/>
    <n v="2219.3200000000002"/>
  </r>
  <r>
    <s v="ORD201028"/>
    <x v="96"/>
    <x v="1020"/>
    <x v="6"/>
    <x v="3"/>
    <n v="440.31"/>
    <x v="200"/>
    <x v="4"/>
    <x v="1"/>
    <x v="1028"/>
    <x v="5"/>
    <x v="2"/>
    <x v="0"/>
    <n v="1761.24"/>
  </r>
  <r>
    <s v="ORD201029"/>
    <x v="627"/>
    <x v="1021"/>
    <x v="6"/>
    <x v="2"/>
    <n v="87.06"/>
    <x v="578"/>
    <x v="2"/>
    <x v="0"/>
    <x v="1029"/>
    <x v="4"/>
    <x v="1"/>
    <x v="2"/>
    <n v="87.06"/>
  </r>
  <r>
    <s v="ORD201030"/>
    <x v="276"/>
    <x v="1022"/>
    <x v="1"/>
    <x v="3"/>
    <n v="245.28"/>
    <x v="595"/>
    <x v="2"/>
    <x v="3"/>
    <x v="1030"/>
    <x v="5"/>
    <x v="3"/>
    <x v="2"/>
    <n v="981.12"/>
  </r>
  <r>
    <s v="ORD201031"/>
    <x v="285"/>
    <x v="1023"/>
    <x v="1"/>
    <x v="0"/>
    <n v="664.51"/>
    <x v="596"/>
    <x v="0"/>
    <x v="4"/>
    <x v="1031"/>
    <x v="2"/>
    <x v="0"/>
    <x v="2"/>
    <n v="3322.55"/>
  </r>
  <r>
    <s v="ORD201032"/>
    <x v="197"/>
    <x v="1024"/>
    <x v="3"/>
    <x v="2"/>
    <n v="618.67999999999995"/>
    <x v="243"/>
    <x v="1"/>
    <x v="3"/>
    <x v="1032"/>
    <x v="5"/>
    <x v="3"/>
    <x v="1"/>
    <n v="618.67999999999995"/>
  </r>
  <r>
    <s v="ORD201033"/>
    <x v="628"/>
    <x v="1025"/>
    <x v="0"/>
    <x v="2"/>
    <n v="370.85"/>
    <x v="597"/>
    <x v="3"/>
    <x v="3"/>
    <x v="1033"/>
    <x v="7"/>
    <x v="1"/>
    <x v="1"/>
    <n v="370.85"/>
  </r>
  <r>
    <s v="ORD201034"/>
    <x v="452"/>
    <x v="1026"/>
    <x v="4"/>
    <x v="3"/>
    <n v="517.98"/>
    <x v="598"/>
    <x v="4"/>
    <x v="1"/>
    <x v="1034"/>
    <x v="2"/>
    <x v="1"/>
    <x v="3"/>
    <n v="2071.92"/>
  </r>
  <r>
    <s v="ORD201035"/>
    <x v="629"/>
    <x v="1027"/>
    <x v="5"/>
    <x v="3"/>
    <n v="506.11"/>
    <x v="599"/>
    <x v="4"/>
    <x v="1"/>
    <x v="1035"/>
    <x v="3"/>
    <x v="2"/>
    <x v="1"/>
    <n v="2024.44"/>
  </r>
  <r>
    <s v="ORD201036"/>
    <x v="583"/>
    <x v="1028"/>
    <x v="1"/>
    <x v="4"/>
    <n v="413.83"/>
    <x v="64"/>
    <x v="3"/>
    <x v="0"/>
    <x v="1036"/>
    <x v="2"/>
    <x v="0"/>
    <x v="3"/>
    <n v="1241.49"/>
  </r>
  <r>
    <s v="ORD201037"/>
    <x v="141"/>
    <x v="1029"/>
    <x v="4"/>
    <x v="2"/>
    <n v="249.81"/>
    <x v="465"/>
    <x v="4"/>
    <x v="4"/>
    <x v="1037"/>
    <x v="9"/>
    <x v="0"/>
    <x v="4"/>
    <n v="249.81"/>
  </r>
  <r>
    <s v="ORD201038"/>
    <x v="175"/>
    <x v="1030"/>
    <x v="2"/>
    <x v="4"/>
    <n v="362.53"/>
    <x v="600"/>
    <x v="0"/>
    <x v="2"/>
    <x v="1038"/>
    <x v="3"/>
    <x v="2"/>
    <x v="3"/>
    <n v="1087.5899999999999"/>
  </r>
  <r>
    <s v="ORD201039"/>
    <x v="164"/>
    <x v="1031"/>
    <x v="6"/>
    <x v="1"/>
    <n v="299.23"/>
    <x v="601"/>
    <x v="2"/>
    <x v="1"/>
    <x v="1039"/>
    <x v="7"/>
    <x v="3"/>
    <x v="0"/>
    <n v="598.46"/>
  </r>
  <r>
    <s v="ORD201040"/>
    <x v="375"/>
    <x v="1032"/>
    <x v="2"/>
    <x v="2"/>
    <n v="536.07000000000005"/>
    <x v="407"/>
    <x v="0"/>
    <x v="3"/>
    <x v="1040"/>
    <x v="3"/>
    <x v="1"/>
    <x v="4"/>
    <n v="536.07000000000005"/>
  </r>
  <r>
    <s v="ORD201041"/>
    <x v="91"/>
    <x v="1033"/>
    <x v="0"/>
    <x v="3"/>
    <n v="558.9"/>
    <x v="198"/>
    <x v="3"/>
    <x v="0"/>
    <x v="1041"/>
    <x v="6"/>
    <x v="3"/>
    <x v="4"/>
    <n v="2235.6"/>
  </r>
  <r>
    <s v="ORD201042"/>
    <x v="65"/>
    <x v="1034"/>
    <x v="2"/>
    <x v="1"/>
    <n v="409.75"/>
    <x v="271"/>
    <x v="0"/>
    <x v="0"/>
    <x v="1042"/>
    <x v="7"/>
    <x v="3"/>
    <x v="3"/>
    <n v="819.5"/>
  </r>
  <r>
    <s v="ORD201043"/>
    <x v="630"/>
    <x v="1035"/>
    <x v="2"/>
    <x v="1"/>
    <n v="179.96"/>
    <x v="581"/>
    <x v="3"/>
    <x v="0"/>
    <x v="1043"/>
    <x v="3"/>
    <x v="2"/>
    <x v="0"/>
    <n v="359.92"/>
  </r>
  <r>
    <s v="ORD201044"/>
    <x v="450"/>
    <x v="1036"/>
    <x v="4"/>
    <x v="2"/>
    <n v="38.49"/>
    <x v="602"/>
    <x v="2"/>
    <x v="3"/>
    <x v="1044"/>
    <x v="4"/>
    <x v="1"/>
    <x v="1"/>
    <n v="38.49"/>
  </r>
  <r>
    <s v="ORD201045"/>
    <x v="28"/>
    <x v="1037"/>
    <x v="5"/>
    <x v="0"/>
    <n v="316.39999999999998"/>
    <x v="603"/>
    <x v="3"/>
    <x v="2"/>
    <x v="1045"/>
    <x v="0"/>
    <x v="2"/>
    <x v="2"/>
    <n v="1582"/>
  </r>
  <r>
    <s v="ORD201046"/>
    <x v="550"/>
    <x v="1038"/>
    <x v="2"/>
    <x v="4"/>
    <n v="547.15"/>
    <x v="604"/>
    <x v="1"/>
    <x v="0"/>
    <x v="1046"/>
    <x v="4"/>
    <x v="3"/>
    <x v="0"/>
    <n v="1641.45"/>
  </r>
  <r>
    <s v="ORD201047"/>
    <x v="467"/>
    <x v="1039"/>
    <x v="3"/>
    <x v="3"/>
    <n v="540.34"/>
    <x v="605"/>
    <x v="3"/>
    <x v="0"/>
    <x v="1047"/>
    <x v="5"/>
    <x v="3"/>
    <x v="1"/>
    <n v="2161.36"/>
  </r>
  <r>
    <s v="ORD201048"/>
    <x v="82"/>
    <x v="1040"/>
    <x v="0"/>
    <x v="3"/>
    <n v="73.650000000000006"/>
    <x v="606"/>
    <x v="0"/>
    <x v="0"/>
    <x v="1048"/>
    <x v="6"/>
    <x v="2"/>
    <x v="4"/>
    <n v="294.60000000000002"/>
  </r>
  <r>
    <s v="ORD201049"/>
    <x v="408"/>
    <x v="1041"/>
    <x v="6"/>
    <x v="0"/>
    <n v="391.86"/>
    <x v="20"/>
    <x v="2"/>
    <x v="0"/>
    <x v="1049"/>
    <x v="5"/>
    <x v="2"/>
    <x v="0"/>
    <n v="1959.3"/>
  </r>
  <r>
    <s v="ORD201050"/>
    <x v="38"/>
    <x v="1042"/>
    <x v="5"/>
    <x v="0"/>
    <n v="69.7"/>
    <x v="395"/>
    <x v="1"/>
    <x v="2"/>
    <x v="1050"/>
    <x v="6"/>
    <x v="2"/>
    <x v="0"/>
    <n v="348.5"/>
  </r>
  <r>
    <s v="ORD201051"/>
    <x v="376"/>
    <x v="1043"/>
    <x v="0"/>
    <x v="0"/>
    <n v="26.43"/>
    <x v="607"/>
    <x v="3"/>
    <x v="0"/>
    <x v="1051"/>
    <x v="3"/>
    <x v="1"/>
    <x v="3"/>
    <n v="132.15"/>
  </r>
  <r>
    <s v="ORD201052"/>
    <x v="631"/>
    <x v="1044"/>
    <x v="2"/>
    <x v="2"/>
    <n v="531.74"/>
    <x v="608"/>
    <x v="1"/>
    <x v="0"/>
    <x v="1052"/>
    <x v="9"/>
    <x v="3"/>
    <x v="4"/>
    <n v="531.74"/>
  </r>
  <r>
    <s v="ORD201053"/>
    <x v="632"/>
    <x v="1045"/>
    <x v="1"/>
    <x v="1"/>
    <n v="496.62"/>
    <x v="574"/>
    <x v="1"/>
    <x v="4"/>
    <x v="1053"/>
    <x v="7"/>
    <x v="0"/>
    <x v="0"/>
    <n v="993.24"/>
  </r>
  <r>
    <s v="ORD201054"/>
    <x v="633"/>
    <x v="1046"/>
    <x v="4"/>
    <x v="2"/>
    <n v="660.66"/>
    <x v="80"/>
    <x v="0"/>
    <x v="3"/>
    <x v="1054"/>
    <x v="1"/>
    <x v="3"/>
    <x v="0"/>
    <n v="660.66"/>
  </r>
  <r>
    <s v="ORD201055"/>
    <x v="5"/>
    <x v="1047"/>
    <x v="0"/>
    <x v="3"/>
    <n v="274.82"/>
    <x v="407"/>
    <x v="0"/>
    <x v="3"/>
    <x v="1055"/>
    <x v="6"/>
    <x v="3"/>
    <x v="2"/>
    <n v="1099.28"/>
  </r>
  <r>
    <s v="ORD201056"/>
    <x v="280"/>
    <x v="1048"/>
    <x v="1"/>
    <x v="1"/>
    <n v="486.35"/>
    <x v="156"/>
    <x v="1"/>
    <x v="4"/>
    <x v="1056"/>
    <x v="5"/>
    <x v="0"/>
    <x v="1"/>
    <n v="972.7"/>
  </r>
  <r>
    <s v="ORD201057"/>
    <x v="634"/>
    <x v="1049"/>
    <x v="5"/>
    <x v="4"/>
    <n v="428.88"/>
    <x v="153"/>
    <x v="0"/>
    <x v="0"/>
    <x v="1057"/>
    <x v="1"/>
    <x v="3"/>
    <x v="3"/>
    <n v="1286.6400000000001"/>
  </r>
  <r>
    <s v="ORD201058"/>
    <x v="102"/>
    <x v="1050"/>
    <x v="6"/>
    <x v="1"/>
    <n v="412.14"/>
    <x v="230"/>
    <x v="2"/>
    <x v="2"/>
    <x v="1058"/>
    <x v="7"/>
    <x v="1"/>
    <x v="0"/>
    <n v="824.28"/>
  </r>
  <r>
    <s v="ORD201059"/>
    <x v="491"/>
    <x v="1051"/>
    <x v="6"/>
    <x v="2"/>
    <n v="265.64"/>
    <x v="609"/>
    <x v="2"/>
    <x v="2"/>
    <x v="1059"/>
    <x v="1"/>
    <x v="3"/>
    <x v="0"/>
    <n v="265.64"/>
  </r>
  <r>
    <s v="ORD201060"/>
    <x v="635"/>
    <x v="1052"/>
    <x v="2"/>
    <x v="1"/>
    <n v="273.43"/>
    <x v="292"/>
    <x v="4"/>
    <x v="0"/>
    <x v="1060"/>
    <x v="0"/>
    <x v="3"/>
    <x v="1"/>
    <n v="546.86"/>
  </r>
  <r>
    <s v="ORD201061"/>
    <x v="636"/>
    <x v="1053"/>
    <x v="5"/>
    <x v="0"/>
    <n v="131.69999999999999"/>
    <x v="32"/>
    <x v="4"/>
    <x v="0"/>
    <x v="1061"/>
    <x v="2"/>
    <x v="1"/>
    <x v="4"/>
    <n v="658.5"/>
  </r>
  <r>
    <s v="ORD201062"/>
    <x v="421"/>
    <x v="1054"/>
    <x v="3"/>
    <x v="0"/>
    <n v="85.52"/>
    <x v="266"/>
    <x v="3"/>
    <x v="1"/>
    <x v="1062"/>
    <x v="3"/>
    <x v="2"/>
    <x v="3"/>
    <n v="427.6"/>
  </r>
  <r>
    <s v="ORD201063"/>
    <x v="83"/>
    <x v="1055"/>
    <x v="6"/>
    <x v="1"/>
    <n v="320.68"/>
    <x v="154"/>
    <x v="2"/>
    <x v="0"/>
    <x v="1063"/>
    <x v="3"/>
    <x v="1"/>
    <x v="1"/>
    <n v="641.36"/>
  </r>
  <r>
    <s v="ORD201064"/>
    <x v="637"/>
    <x v="1056"/>
    <x v="5"/>
    <x v="3"/>
    <n v="198.81"/>
    <x v="236"/>
    <x v="4"/>
    <x v="2"/>
    <x v="1064"/>
    <x v="6"/>
    <x v="1"/>
    <x v="1"/>
    <n v="795.24"/>
  </r>
  <r>
    <s v="ORD201065"/>
    <x v="638"/>
    <x v="1057"/>
    <x v="4"/>
    <x v="0"/>
    <n v="666.8"/>
    <x v="336"/>
    <x v="0"/>
    <x v="3"/>
    <x v="1065"/>
    <x v="0"/>
    <x v="0"/>
    <x v="1"/>
    <n v="3334"/>
  </r>
  <r>
    <s v="ORD201066"/>
    <x v="639"/>
    <x v="1058"/>
    <x v="6"/>
    <x v="2"/>
    <n v="355.09"/>
    <x v="468"/>
    <x v="0"/>
    <x v="1"/>
    <x v="1066"/>
    <x v="3"/>
    <x v="0"/>
    <x v="0"/>
    <n v="355.09"/>
  </r>
  <r>
    <s v="ORD201067"/>
    <x v="640"/>
    <x v="1059"/>
    <x v="1"/>
    <x v="1"/>
    <n v="316.2"/>
    <x v="65"/>
    <x v="1"/>
    <x v="2"/>
    <x v="1067"/>
    <x v="7"/>
    <x v="2"/>
    <x v="0"/>
    <n v="632.4"/>
  </r>
  <r>
    <s v="ORD201068"/>
    <x v="240"/>
    <x v="1060"/>
    <x v="5"/>
    <x v="2"/>
    <n v="133.38999999999999"/>
    <x v="610"/>
    <x v="0"/>
    <x v="0"/>
    <x v="1068"/>
    <x v="7"/>
    <x v="0"/>
    <x v="1"/>
    <n v="133.38999999999999"/>
  </r>
  <r>
    <s v="ORD201069"/>
    <x v="641"/>
    <x v="1061"/>
    <x v="0"/>
    <x v="2"/>
    <n v="454.23"/>
    <x v="207"/>
    <x v="3"/>
    <x v="2"/>
    <x v="1069"/>
    <x v="1"/>
    <x v="2"/>
    <x v="3"/>
    <n v="454.23"/>
  </r>
  <r>
    <s v="ORD201070"/>
    <x v="605"/>
    <x v="1062"/>
    <x v="6"/>
    <x v="3"/>
    <n v="491.29"/>
    <x v="75"/>
    <x v="0"/>
    <x v="4"/>
    <x v="1070"/>
    <x v="5"/>
    <x v="2"/>
    <x v="2"/>
    <n v="1965.16"/>
  </r>
  <r>
    <s v="ORD201071"/>
    <x v="53"/>
    <x v="1063"/>
    <x v="1"/>
    <x v="1"/>
    <n v="255.14"/>
    <x v="307"/>
    <x v="4"/>
    <x v="0"/>
    <x v="1071"/>
    <x v="7"/>
    <x v="2"/>
    <x v="4"/>
    <n v="510.28"/>
  </r>
  <r>
    <s v="ORD201072"/>
    <x v="297"/>
    <x v="1064"/>
    <x v="0"/>
    <x v="2"/>
    <n v="392.61"/>
    <x v="225"/>
    <x v="3"/>
    <x v="1"/>
    <x v="1072"/>
    <x v="4"/>
    <x v="0"/>
    <x v="1"/>
    <n v="392.61"/>
  </r>
  <r>
    <s v="ORD201073"/>
    <x v="642"/>
    <x v="1065"/>
    <x v="2"/>
    <x v="3"/>
    <n v="362.06"/>
    <x v="221"/>
    <x v="0"/>
    <x v="2"/>
    <x v="1073"/>
    <x v="4"/>
    <x v="2"/>
    <x v="3"/>
    <n v="1448.24"/>
  </r>
  <r>
    <s v="ORD201074"/>
    <x v="451"/>
    <x v="1066"/>
    <x v="1"/>
    <x v="2"/>
    <n v="222.73"/>
    <x v="611"/>
    <x v="1"/>
    <x v="2"/>
    <x v="1074"/>
    <x v="4"/>
    <x v="2"/>
    <x v="4"/>
    <n v="222.73"/>
  </r>
  <r>
    <s v="ORD201075"/>
    <x v="169"/>
    <x v="1067"/>
    <x v="0"/>
    <x v="1"/>
    <n v="552.63"/>
    <x v="181"/>
    <x v="0"/>
    <x v="3"/>
    <x v="1075"/>
    <x v="0"/>
    <x v="3"/>
    <x v="0"/>
    <n v="1105.26"/>
  </r>
  <r>
    <s v="ORD201076"/>
    <x v="20"/>
    <x v="1068"/>
    <x v="5"/>
    <x v="3"/>
    <n v="686.61"/>
    <x v="595"/>
    <x v="4"/>
    <x v="0"/>
    <x v="1076"/>
    <x v="5"/>
    <x v="2"/>
    <x v="1"/>
    <n v="2746.44"/>
  </r>
  <r>
    <s v="ORD201077"/>
    <x v="456"/>
    <x v="1069"/>
    <x v="4"/>
    <x v="4"/>
    <n v="305.16000000000003"/>
    <x v="107"/>
    <x v="2"/>
    <x v="1"/>
    <x v="1077"/>
    <x v="2"/>
    <x v="0"/>
    <x v="1"/>
    <n v="915.48"/>
  </r>
  <r>
    <s v="ORD201078"/>
    <x v="168"/>
    <x v="1070"/>
    <x v="6"/>
    <x v="2"/>
    <n v="41.09"/>
    <x v="27"/>
    <x v="1"/>
    <x v="2"/>
    <x v="1078"/>
    <x v="4"/>
    <x v="3"/>
    <x v="2"/>
    <n v="41.09"/>
  </r>
  <r>
    <s v="ORD201079"/>
    <x v="643"/>
    <x v="1071"/>
    <x v="1"/>
    <x v="0"/>
    <n v="634"/>
    <x v="570"/>
    <x v="3"/>
    <x v="3"/>
    <x v="1079"/>
    <x v="2"/>
    <x v="2"/>
    <x v="2"/>
    <n v="3170"/>
  </r>
  <r>
    <s v="ORD201080"/>
    <x v="325"/>
    <x v="1072"/>
    <x v="5"/>
    <x v="0"/>
    <n v="464.74"/>
    <x v="612"/>
    <x v="3"/>
    <x v="3"/>
    <x v="1080"/>
    <x v="0"/>
    <x v="2"/>
    <x v="1"/>
    <n v="2323.6999999999998"/>
  </r>
  <r>
    <s v="ORD201081"/>
    <x v="453"/>
    <x v="1073"/>
    <x v="0"/>
    <x v="3"/>
    <n v="425.6"/>
    <x v="294"/>
    <x v="2"/>
    <x v="4"/>
    <x v="1081"/>
    <x v="3"/>
    <x v="1"/>
    <x v="4"/>
    <n v="1702.4"/>
  </r>
  <r>
    <s v="ORD201082"/>
    <x v="426"/>
    <x v="1074"/>
    <x v="3"/>
    <x v="4"/>
    <n v="573.22"/>
    <x v="601"/>
    <x v="0"/>
    <x v="4"/>
    <x v="1082"/>
    <x v="3"/>
    <x v="0"/>
    <x v="2"/>
    <n v="1719.66"/>
  </r>
  <r>
    <s v="ORD201083"/>
    <x v="644"/>
    <x v="1075"/>
    <x v="3"/>
    <x v="2"/>
    <n v="123.28"/>
    <x v="30"/>
    <x v="2"/>
    <x v="3"/>
    <x v="1083"/>
    <x v="1"/>
    <x v="0"/>
    <x v="2"/>
    <n v="123.28"/>
  </r>
  <r>
    <s v="ORD201084"/>
    <x v="124"/>
    <x v="1076"/>
    <x v="1"/>
    <x v="2"/>
    <n v="70.819999999999993"/>
    <x v="35"/>
    <x v="3"/>
    <x v="4"/>
    <x v="1084"/>
    <x v="9"/>
    <x v="3"/>
    <x v="0"/>
    <n v="70.819999999999993"/>
  </r>
  <r>
    <s v="ORD201085"/>
    <x v="54"/>
    <x v="1077"/>
    <x v="4"/>
    <x v="1"/>
    <n v="646.69000000000005"/>
    <x v="135"/>
    <x v="0"/>
    <x v="0"/>
    <x v="1085"/>
    <x v="0"/>
    <x v="3"/>
    <x v="0"/>
    <n v="1293.3800000000001"/>
  </r>
  <r>
    <s v="ORD201086"/>
    <x v="475"/>
    <x v="1078"/>
    <x v="2"/>
    <x v="1"/>
    <n v="513.41999999999996"/>
    <x v="613"/>
    <x v="1"/>
    <x v="4"/>
    <x v="1086"/>
    <x v="3"/>
    <x v="3"/>
    <x v="0"/>
    <n v="1026.8399999999999"/>
  </r>
  <r>
    <s v="ORD201087"/>
    <x v="411"/>
    <x v="1079"/>
    <x v="5"/>
    <x v="3"/>
    <n v="693.07"/>
    <x v="614"/>
    <x v="1"/>
    <x v="0"/>
    <x v="1087"/>
    <x v="2"/>
    <x v="0"/>
    <x v="0"/>
    <n v="2772.28"/>
  </r>
  <r>
    <s v="ORD201088"/>
    <x v="115"/>
    <x v="1080"/>
    <x v="6"/>
    <x v="4"/>
    <n v="491.43"/>
    <x v="615"/>
    <x v="3"/>
    <x v="0"/>
    <x v="1088"/>
    <x v="5"/>
    <x v="3"/>
    <x v="0"/>
    <n v="1474.29"/>
  </r>
  <r>
    <s v="ORD201089"/>
    <x v="175"/>
    <x v="1081"/>
    <x v="2"/>
    <x v="1"/>
    <n v="599.74"/>
    <x v="63"/>
    <x v="3"/>
    <x v="0"/>
    <x v="1089"/>
    <x v="7"/>
    <x v="2"/>
    <x v="0"/>
    <n v="1199.48"/>
  </r>
  <r>
    <s v="ORD201090"/>
    <x v="641"/>
    <x v="1082"/>
    <x v="0"/>
    <x v="1"/>
    <n v="650.25"/>
    <x v="31"/>
    <x v="3"/>
    <x v="2"/>
    <x v="1090"/>
    <x v="5"/>
    <x v="2"/>
    <x v="0"/>
    <n v="1300.5"/>
  </r>
  <r>
    <s v="ORD201091"/>
    <x v="192"/>
    <x v="1083"/>
    <x v="5"/>
    <x v="4"/>
    <n v="209.48"/>
    <x v="329"/>
    <x v="0"/>
    <x v="4"/>
    <x v="1091"/>
    <x v="4"/>
    <x v="2"/>
    <x v="2"/>
    <n v="628.43999999999994"/>
  </r>
  <r>
    <s v="ORD201092"/>
    <x v="531"/>
    <x v="1084"/>
    <x v="5"/>
    <x v="0"/>
    <n v="209.2"/>
    <x v="29"/>
    <x v="0"/>
    <x v="3"/>
    <x v="1092"/>
    <x v="5"/>
    <x v="3"/>
    <x v="2"/>
    <n v="1046"/>
  </r>
  <r>
    <s v="ORD201093"/>
    <x v="308"/>
    <x v="1085"/>
    <x v="1"/>
    <x v="3"/>
    <n v="197.36"/>
    <x v="616"/>
    <x v="3"/>
    <x v="2"/>
    <x v="1093"/>
    <x v="6"/>
    <x v="1"/>
    <x v="0"/>
    <n v="789.44"/>
  </r>
  <r>
    <s v="ORD201094"/>
    <x v="342"/>
    <x v="1086"/>
    <x v="4"/>
    <x v="3"/>
    <n v="648.91"/>
    <x v="617"/>
    <x v="2"/>
    <x v="0"/>
    <x v="1094"/>
    <x v="5"/>
    <x v="0"/>
    <x v="0"/>
    <n v="2595.64"/>
  </r>
  <r>
    <s v="ORD201095"/>
    <x v="234"/>
    <x v="1087"/>
    <x v="1"/>
    <x v="1"/>
    <n v="441.54"/>
    <x v="618"/>
    <x v="1"/>
    <x v="3"/>
    <x v="1095"/>
    <x v="7"/>
    <x v="0"/>
    <x v="2"/>
    <n v="883.08"/>
  </r>
  <r>
    <s v="ORD201096"/>
    <x v="120"/>
    <x v="1088"/>
    <x v="2"/>
    <x v="1"/>
    <n v="464.92"/>
    <x v="619"/>
    <x v="0"/>
    <x v="2"/>
    <x v="1096"/>
    <x v="7"/>
    <x v="2"/>
    <x v="3"/>
    <n v="929.84"/>
  </r>
  <r>
    <s v="ORD201097"/>
    <x v="645"/>
    <x v="1089"/>
    <x v="0"/>
    <x v="0"/>
    <n v="506.45"/>
    <x v="620"/>
    <x v="3"/>
    <x v="0"/>
    <x v="1097"/>
    <x v="0"/>
    <x v="3"/>
    <x v="4"/>
    <n v="2532.25"/>
  </r>
  <r>
    <s v="ORD201098"/>
    <x v="646"/>
    <x v="1090"/>
    <x v="0"/>
    <x v="3"/>
    <n v="255.86"/>
    <x v="621"/>
    <x v="2"/>
    <x v="3"/>
    <x v="1098"/>
    <x v="0"/>
    <x v="2"/>
    <x v="2"/>
    <n v="1023.44"/>
  </r>
  <r>
    <s v="ORD201099"/>
    <x v="556"/>
    <x v="1091"/>
    <x v="5"/>
    <x v="1"/>
    <n v="125.23"/>
    <x v="314"/>
    <x v="4"/>
    <x v="1"/>
    <x v="1099"/>
    <x v="1"/>
    <x v="1"/>
    <x v="2"/>
    <n v="250.46"/>
  </r>
  <r>
    <s v="ORD201100"/>
    <x v="538"/>
    <x v="1092"/>
    <x v="5"/>
    <x v="0"/>
    <n v="38.11"/>
    <x v="622"/>
    <x v="0"/>
    <x v="1"/>
    <x v="1100"/>
    <x v="5"/>
    <x v="3"/>
    <x v="0"/>
    <n v="190.55"/>
  </r>
  <r>
    <s v="ORD201101"/>
    <x v="647"/>
    <x v="1093"/>
    <x v="0"/>
    <x v="4"/>
    <n v="161.97"/>
    <x v="8"/>
    <x v="4"/>
    <x v="4"/>
    <x v="1101"/>
    <x v="4"/>
    <x v="0"/>
    <x v="2"/>
    <n v="485.91"/>
  </r>
  <r>
    <s v="ORD201102"/>
    <x v="561"/>
    <x v="14"/>
    <x v="3"/>
    <x v="3"/>
    <n v="347.17"/>
    <x v="494"/>
    <x v="0"/>
    <x v="0"/>
    <x v="1102"/>
    <x v="2"/>
    <x v="2"/>
    <x v="0"/>
    <n v="1388.68"/>
  </r>
  <r>
    <s v="ORD201103"/>
    <x v="648"/>
    <x v="1094"/>
    <x v="5"/>
    <x v="3"/>
    <n v="276.32"/>
    <x v="67"/>
    <x v="1"/>
    <x v="3"/>
    <x v="1103"/>
    <x v="3"/>
    <x v="2"/>
    <x v="4"/>
    <n v="1105.28"/>
  </r>
  <r>
    <s v="ORD201104"/>
    <x v="568"/>
    <x v="1095"/>
    <x v="2"/>
    <x v="3"/>
    <n v="314.76"/>
    <x v="623"/>
    <x v="1"/>
    <x v="0"/>
    <x v="1104"/>
    <x v="2"/>
    <x v="2"/>
    <x v="0"/>
    <n v="1259.04"/>
  </r>
  <r>
    <s v="ORD201105"/>
    <x v="649"/>
    <x v="1096"/>
    <x v="2"/>
    <x v="4"/>
    <n v="475.69"/>
    <x v="234"/>
    <x v="3"/>
    <x v="1"/>
    <x v="1105"/>
    <x v="1"/>
    <x v="1"/>
    <x v="4"/>
    <n v="1427.07"/>
  </r>
  <r>
    <s v="ORD201106"/>
    <x v="255"/>
    <x v="1097"/>
    <x v="3"/>
    <x v="2"/>
    <n v="372.8"/>
    <x v="13"/>
    <x v="4"/>
    <x v="1"/>
    <x v="1106"/>
    <x v="5"/>
    <x v="0"/>
    <x v="3"/>
    <n v="372.8"/>
  </r>
  <r>
    <s v="ORD201107"/>
    <x v="233"/>
    <x v="1098"/>
    <x v="2"/>
    <x v="1"/>
    <n v="63.21"/>
    <x v="429"/>
    <x v="1"/>
    <x v="1"/>
    <x v="1107"/>
    <x v="4"/>
    <x v="0"/>
    <x v="4"/>
    <n v="126.42"/>
  </r>
  <r>
    <s v="ORD201108"/>
    <x v="650"/>
    <x v="1099"/>
    <x v="5"/>
    <x v="2"/>
    <n v="634.94000000000005"/>
    <x v="624"/>
    <x v="1"/>
    <x v="1"/>
    <x v="1108"/>
    <x v="3"/>
    <x v="3"/>
    <x v="0"/>
    <n v="634.94000000000005"/>
  </r>
  <r>
    <s v="ORD201109"/>
    <x v="651"/>
    <x v="1100"/>
    <x v="4"/>
    <x v="3"/>
    <n v="77.47"/>
    <x v="358"/>
    <x v="3"/>
    <x v="2"/>
    <x v="1109"/>
    <x v="0"/>
    <x v="0"/>
    <x v="0"/>
    <n v="309.88"/>
  </r>
  <r>
    <s v="ORD201110"/>
    <x v="402"/>
    <x v="1101"/>
    <x v="3"/>
    <x v="4"/>
    <n v="84.31"/>
    <x v="33"/>
    <x v="2"/>
    <x v="0"/>
    <x v="1110"/>
    <x v="1"/>
    <x v="0"/>
    <x v="2"/>
    <n v="252.93"/>
  </r>
  <r>
    <s v="ORD201111"/>
    <x v="306"/>
    <x v="1102"/>
    <x v="0"/>
    <x v="3"/>
    <n v="234.45"/>
    <x v="625"/>
    <x v="1"/>
    <x v="1"/>
    <x v="1111"/>
    <x v="6"/>
    <x v="1"/>
    <x v="0"/>
    <n v="937.8"/>
  </r>
  <r>
    <s v="ORD201112"/>
    <x v="652"/>
    <x v="1103"/>
    <x v="6"/>
    <x v="2"/>
    <n v="356.81"/>
    <x v="116"/>
    <x v="1"/>
    <x v="3"/>
    <x v="1112"/>
    <x v="9"/>
    <x v="3"/>
    <x v="0"/>
    <n v="356.81"/>
  </r>
  <r>
    <s v="ORD201113"/>
    <x v="111"/>
    <x v="1104"/>
    <x v="6"/>
    <x v="3"/>
    <n v="209.99"/>
    <x v="572"/>
    <x v="4"/>
    <x v="3"/>
    <x v="1113"/>
    <x v="2"/>
    <x v="2"/>
    <x v="4"/>
    <n v="839.96"/>
  </r>
  <r>
    <s v="ORD201114"/>
    <x v="653"/>
    <x v="1105"/>
    <x v="2"/>
    <x v="4"/>
    <n v="659.88"/>
    <x v="181"/>
    <x v="3"/>
    <x v="1"/>
    <x v="1114"/>
    <x v="1"/>
    <x v="2"/>
    <x v="4"/>
    <n v="1979.64"/>
  </r>
  <r>
    <s v="ORD201115"/>
    <x v="126"/>
    <x v="1106"/>
    <x v="5"/>
    <x v="1"/>
    <n v="336.32"/>
    <x v="203"/>
    <x v="1"/>
    <x v="2"/>
    <x v="1115"/>
    <x v="1"/>
    <x v="2"/>
    <x v="4"/>
    <n v="672.64"/>
  </r>
  <r>
    <s v="ORD201116"/>
    <x v="612"/>
    <x v="1107"/>
    <x v="4"/>
    <x v="1"/>
    <n v="531.49"/>
    <x v="203"/>
    <x v="2"/>
    <x v="3"/>
    <x v="1116"/>
    <x v="0"/>
    <x v="3"/>
    <x v="3"/>
    <n v="1062.98"/>
  </r>
  <r>
    <s v="ORD201117"/>
    <x v="199"/>
    <x v="1108"/>
    <x v="3"/>
    <x v="4"/>
    <n v="588.44000000000005"/>
    <x v="324"/>
    <x v="3"/>
    <x v="0"/>
    <x v="1117"/>
    <x v="2"/>
    <x v="3"/>
    <x v="4"/>
    <n v="1765.32"/>
  </r>
  <r>
    <s v="ORD201118"/>
    <x v="75"/>
    <x v="1109"/>
    <x v="1"/>
    <x v="4"/>
    <n v="251.48"/>
    <x v="319"/>
    <x v="2"/>
    <x v="2"/>
    <x v="1118"/>
    <x v="4"/>
    <x v="2"/>
    <x v="2"/>
    <n v="754.43999999999994"/>
  </r>
  <r>
    <s v="ORD201119"/>
    <x v="167"/>
    <x v="1110"/>
    <x v="5"/>
    <x v="2"/>
    <n v="684.65"/>
    <x v="224"/>
    <x v="2"/>
    <x v="3"/>
    <x v="1119"/>
    <x v="9"/>
    <x v="1"/>
    <x v="2"/>
    <n v="684.65"/>
  </r>
  <r>
    <s v="ORD201120"/>
    <x v="400"/>
    <x v="1111"/>
    <x v="2"/>
    <x v="2"/>
    <n v="195.86"/>
    <x v="40"/>
    <x v="1"/>
    <x v="4"/>
    <x v="1120"/>
    <x v="1"/>
    <x v="2"/>
    <x v="3"/>
    <n v="195.86"/>
  </r>
  <r>
    <s v="ORD201121"/>
    <x v="654"/>
    <x v="1112"/>
    <x v="1"/>
    <x v="4"/>
    <n v="50.34"/>
    <x v="555"/>
    <x v="3"/>
    <x v="2"/>
    <x v="1121"/>
    <x v="1"/>
    <x v="1"/>
    <x v="0"/>
    <n v="151.02000000000001"/>
  </r>
  <r>
    <s v="ORD201122"/>
    <x v="323"/>
    <x v="266"/>
    <x v="0"/>
    <x v="0"/>
    <n v="678.19"/>
    <x v="598"/>
    <x v="1"/>
    <x v="2"/>
    <x v="1122"/>
    <x v="2"/>
    <x v="2"/>
    <x v="3"/>
    <n v="3390.95"/>
  </r>
  <r>
    <s v="ORD201123"/>
    <x v="655"/>
    <x v="1113"/>
    <x v="2"/>
    <x v="4"/>
    <n v="554.25"/>
    <x v="626"/>
    <x v="0"/>
    <x v="0"/>
    <x v="1123"/>
    <x v="5"/>
    <x v="3"/>
    <x v="1"/>
    <n v="1662.75"/>
  </r>
  <r>
    <s v="ORD201124"/>
    <x v="221"/>
    <x v="1114"/>
    <x v="3"/>
    <x v="3"/>
    <n v="576.87"/>
    <x v="627"/>
    <x v="3"/>
    <x v="2"/>
    <x v="1124"/>
    <x v="3"/>
    <x v="2"/>
    <x v="0"/>
    <n v="2307.48"/>
  </r>
  <r>
    <s v="ORD201125"/>
    <x v="504"/>
    <x v="1115"/>
    <x v="6"/>
    <x v="3"/>
    <n v="408.36"/>
    <x v="548"/>
    <x v="3"/>
    <x v="1"/>
    <x v="1125"/>
    <x v="4"/>
    <x v="1"/>
    <x v="1"/>
    <n v="1633.44"/>
  </r>
  <r>
    <s v="ORD201126"/>
    <x v="319"/>
    <x v="1116"/>
    <x v="1"/>
    <x v="0"/>
    <n v="190.11"/>
    <x v="628"/>
    <x v="4"/>
    <x v="3"/>
    <x v="1126"/>
    <x v="0"/>
    <x v="0"/>
    <x v="4"/>
    <n v="950.55000000000007"/>
  </r>
  <r>
    <s v="ORD201127"/>
    <x v="175"/>
    <x v="1117"/>
    <x v="4"/>
    <x v="4"/>
    <n v="602.75"/>
    <x v="529"/>
    <x v="2"/>
    <x v="0"/>
    <x v="1127"/>
    <x v="5"/>
    <x v="0"/>
    <x v="2"/>
    <n v="1808.25"/>
  </r>
  <r>
    <s v="ORD201128"/>
    <x v="538"/>
    <x v="1118"/>
    <x v="0"/>
    <x v="4"/>
    <n v="646.79"/>
    <x v="80"/>
    <x v="4"/>
    <x v="1"/>
    <x v="1128"/>
    <x v="3"/>
    <x v="3"/>
    <x v="4"/>
    <n v="1940.37"/>
  </r>
  <r>
    <s v="ORD201129"/>
    <x v="236"/>
    <x v="1119"/>
    <x v="3"/>
    <x v="3"/>
    <n v="418.71"/>
    <x v="70"/>
    <x v="4"/>
    <x v="4"/>
    <x v="1129"/>
    <x v="2"/>
    <x v="1"/>
    <x v="0"/>
    <n v="1674.84"/>
  </r>
  <r>
    <s v="ORD201130"/>
    <x v="656"/>
    <x v="1120"/>
    <x v="5"/>
    <x v="1"/>
    <n v="323.45"/>
    <x v="91"/>
    <x v="2"/>
    <x v="2"/>
    <x v="1130"/>
    <x v="3"/>
    <x v="1"/>
    <x v="0"/>
    <n v="646.9"/>
  </r>
  <r>
    <s v="ORD201131"/>
    <x v="408"/>
    <x v="1121"/>
    <x v="1"/>
    <x v="2"/>
    <n v="694.5"/>
    <x v="241"/>
    <x v="2"/>
    <x v="4"/>
    <x v="1131"/>
    <x v="1"/>
    <x v="3"/>
    <x v="3"/>
    <n v="694.5"/>
  </r>
  <r>
    <s v="ORD201132"/>
    <x v="657"/>
    <x v="1122"/>
    <x v="3"/>
    <x v="1"/>
    <n v="337.32"/>
    <x v="198"/>
    <x v="2"/>
    <x v="1"/>
    <x v="1132"/>
    <x v="4"/>
    <x v="0"/>
    <x v="2"/>
    <n v="674.64"/>
  </r>
  <r>
    <s v="ORD201133"/>
    <x v="398"/>
    <x v="1123"/>
    <x v="4"/>
    <x v="1"/>
    <n v="467.91"/>
    <x v="187"/>
    <x v="3"/>
    <x v="2"/>
    <x v="1133"/>
    <x v="3"/>
    <x v="3"/>
    <x v="3"/>
    <n v="935.82"/>
  </r>
  <r>
    <s v="ORD201134"/>
    <x v="180"/>
    <x v="1124"/>
    <x v="6"/>
    <x v="3"/>
    <n v="38.28"/>
    <x v="629"/>
    <x v="0"/>
    <x v="1"/>
    <x v="1134"/>
    <x v="4"/>
    <x v="3"/>
    <x v="3"/>
    <n v="153.12"/>
  </r>
  <r>
    <s v="ORD201135"/>
    <x v="153"/>
    <x v="1125"/>
    <x v="4"/>
    <x v="1"/>
    <n v="73.41"/>
    <x v="203"/>
    <x v="1"/>
    <x v="0"/>
    <x v="1135"/>
    <x v="7"/>
    <x v="0"/>
    <x v="4"/>
    <n v="146.82"/>
  </r>
  <r>
    <s v="ORD201136"/>
    <x v="463"/>
    <x v="1126"/>
    <x v="2"/>
    <x v="4"/>
    <n v="668.33"/>
    <x v="472"/>
    <x v="3"/>
    <x v="4"/>
    <x v="1136"/>
    <x v="4"/>
    <x v="3"/>
    <x v="3"/>
    <n v="2004.99"/>
  </r>
  <r>
    <s v="ORD201137"/>
    <x v="511"/>
    <x v="1127"/>
    <x v="4"/>
    <x v="3"/>
    <n v="410.21"/>
    <x v="630"/>
    <x v="4"/>
    <x v="4"/>
    <x v="1137"/>
    <x v="3"/>
    <x v="3"/>
    <x v="0"/>
    <n v="1640.84"/>
  </r>
  <r>
    <s v="ORD201138"/>
    <x v="552"/>
    <x v="1128"/>
    <x v="6"/>
    <x v="3"/>
    <n v="294.41000000000003"/>
    <x v="455"/>
    <x v="0"/>
    <x v="4"/>
    <x v="1138"/>
    <x v="4"/>
    <x v="2"/>
    <x v="0"/>
    <n v="1177.6400000000001"/>
  </r>
  <r>
    <s v="ORD201139"/>
    <x v="627"/>
    <x v="1042"/>
    <x v="3"/>
    <x v="4"/>
    <n v="501.82"/>
    <x v="28"/>
    <x v="3"/>
    <x v="1"/>
    <x v="1139"/>
    <x v="4"/>
    <x v="1"/>
    <x v="2"/>
    <n v="1505.46"/>
  </r>
  <r>
    <s v="ORD201140"/>
    <x v="658"/>
    <x v="1129"/>
    <x v="4"/>
    <x v="1"/>
    <n v="552.83000000000004"/>
    <x v="8"/>
    <x v="2"/>
    <x v="1"/>
    <x v="1140"/>
    <x v="1"/>
    <x v="2"/>
    <x v="1"/>
    <n v="1105.6600000000001"/>
  </r>
  <r>
    <s v="ORD201141"/>
    <x v="656"/>
    <x v="1130"/>
    <x v="3"/>
    <x v="4"/>
    <n v="498.66"/>
    <x v="17"/>
    <x v="4"/>
    <x v="1"/>
    <x v="1141"/>
    <x v="5"/>
    <x v="2"/>
    <x v="2"/>
    <n v="1495.98"/>
  </r>
  <r>
    <s v="ORD201142"/>
    <x v="1"/>
    <x v="1131"/>
    <x v="1"/>
    <x v="3"/>
    <n v="695.1"/>
    <x v="631"/>
    <x v="0"/>
    <x v="2"/>
    <x v="1142"/>
    <x v="2"/>
    <x v="2"/>
    <x v="2"/>
    <n v="2780.4"/>
  </r>
  <r>
    <s v="ORD201143"/>
    <x v="659"/>
    <x v="1132"/>
    <x v="3"/>
    <x v="2"/>
    <n v="381.61"/>
    <x v="632"/>
    <x v="0"/>
    <x v="4"/>
    <x v="1143"/>
    <x v="3"/>
    <x v="2"/>
    <x v="2"/>
    <n v="381.61"/>
  </r>
  <r>
    <s v="ORD201144"/>
    <x v="223"/>
    <x v="1133"/>
    <x v="6"/>
    <x v="0"/>
    <n v="507.94"/>
    <x v="633"/>
    <x v="1"/>
    <x v="1"/>
    <x v="1144"/>
    <x v="6"/>
    <x v="2"/>
    <x v="3"/>
    <n v="2539.6999999999998"/>
  </r>
  <r>
    <s v="ORD201145"/>
    <x v="275"/>
    <x v="1134"/>
    <x v="6"/>
    <x v="4"/>
    <n v="571.53"/>
    <x v="218"/>
    <x v="0"/>
    <x v="3"/>
    <x v="1145"/>
    <x v="5"/>
    <x v="1"/>
    <x v="3"/>
    <n v="1714.59"/>
  </r>
  <r>
    <s v="ORD201146"/>
    <x v="525"/>
    <x v="1135"/>
    <x v="0"/>
    <x v="0"/>
    <n v="421.44"/>
    <x v="351"/>
    <x v="4"/>
    <x v="4"/>
    <x v="1146"/>
    <x v="3"/>
    <x v="0"/>
    <x v="0"/>
    <n v="2107.1999999999998"/>
  </r>
  <r>
    <s v="ORD201147"/>
    <x v="143"/>
    <x v="1136"/>
    <x v="3"/>
    <x v="1"/>
    <n v="588.29999999999995"/>
    <x v="634"/>
    <x v="1"/>
    <x v="4"/>
    <x v="1147"/>
    <x v="7"/>
    <x v="1"/>
    <x v="2"/>
    <n v="1176.5999999999999"/>
  </r>
  <r>
    <s v="ORD201148"/>
    <x v="611"/>
    <x v="1137"/>
    <x v="1"/>
    <x v="2"/>
    <n v="355.15"/>
    <x v="635"/>
    <x v="4"/>
    <x v="2"/>
    <x v="1148"/>
    <x v="7"/>
    <x v="0"/>
    <x v="2"/>
    <n v="355.15"/>
  </r>
  <r>
    <s v="ORD201149"/>
    <x v="568"/>
    <x v="1138"/>
    <x v="3"/>
    <x v="1"/>
    <n v="695.29"/>
    <x v="636"/>
    <x v="2"/>
    <x v="4"/>
    <x v="1149"/>
    <x v="5"/>
    <x v="1"/>
    <x v="0"/>
    <n v="1390.58"/>
  </r>
  <r>
    <s v="ORD201150"/>
    <x v="215"/>
    <x v="1139"/>
    <x v="6"/>
    <x v="3"/>
    <n v="302.64999999999998"/>
    <x v="232"/>
    <x v="2"/>
    <x v="1"/>
    <x v="1150"/>
    <x v="2"/>
    <x v="0"/>
    <x v="1"/>
    <n v="1210.5999999999999"/>
  </r>
  <r>
    <s v="ORD201151"/>
    <x v="22"/>
    <x v="1140"/>
    <x v="3"/>
    <x v="1"/>
    <n v="608.04"/>
    <x v="637"/>
    <x v="4"/>
    <x v="1"/>
    <x v="1151"/>
    <x v="4"/>
    <x v="2"/>
    <x v="4"/>
    <n v="1216.08"/>
  </r>
  <r>
    <s v="ORD201152"/>
    <x v="576"/>
    <x v="1141"/>
    <x v="2"/>
    <x v="1"/>
    <n v="344.18"/>
    <x v="91"/>
    <x v="2"/>
    <x v="0"/>
    <x v="1152"/>
    <x v="0"/>
    <x v="2"/>
    <x v="1"/>
    <n v="688.36"/>
  </r>
  <r>
    <s v="ORD201153"/>
    <x v="393"/>
    <x v="1142"/>
    <x v="0"/>
    <x v="3"/>
    <n v="696.71"/>
    <x v="638"/>
    <x v="0"/>
    <x v="0"/>
    <x v="1153"/>
    <x v="4"/>
    <x v="2"/>
    <x v="0"/>
    <n v="2786.84"/>
  </r>
  <r>
    <s v="ORD201154"/>
    <x v="113"/>
    <x v="1143"/>
    <x v="0"/>
    <x v="4"/>
    <n v="198.63"/>
    <x v="110"/>
    <x v="4"/>
    <x v="4"/>
    <x v="1154"/>
    <x v="2"/>
    <x v="0"/>
    <x v="0"/>
    <n v="595.89"/>
  </r>
  <r>
    <s v="ORD201155"/>
    <x v="340"/>
    <x v="1144"/>
    <x v="4"/>
    <x v="3"/>
    <n v="534.57000000000005"/>
    <x v="148"/>
    <x v="2"/>
    <x v="3"/>
    <x v="1155"/>
    <x v="5"/>
    <x v="1"/>
    <x v="3"/>
    <n v="2138.2800000000002"/>
  </r>
  <r>
    <s v="ORD201156"/>
    <x v="45"/>
    <x v="1145"/>
    <x v="5"/>
    <x v="3"/>
    <n v="690.78"/>
    <x v="14"/>
    <x v="2"/>
    <x v="0"/>
    <x v="1156"/>
    <x v="6"/>
    <x v="2"/>
    <x v="1"/>
    <n v="2763.12"/>
  </r>
  <r>
    <s v="ORD201157"/>
    <x v="382"/>
    <x v="1146"/>
    <x v="0"/>
    <x v="4"/>
    <n v="301.55"/>
    <x v="195"/>
    <x v="0"/>
    <x v="3"/>
    <x v="1157"/>
    <x v="3"/>
    <x v="1"/>
    <x v="4"/>
    <n v="904.65000000000009"/>
  </r>
  <r>
    <s v="ORD201158"/>
    <x v="197"/>
    <x v="1147"/>
    <x v="0"/>
    <x v="3"/>
    <n v="27.42"/>
    <x v="345"/>
    <x v="0"/>
    <x v="4"/>
    <x v="1158"/>
    <x v="4"/>
    <x v="0"/>
    <x v="1"/>
    <n v="109.68"/>
  </r>
  <r>
    <s v="ORD201159"/>
    <x v="203"/>
    <x v="1148"/>
    <x v="6"/>
    <x v="3"/>
    <n v="466.7"/>
    <x v="356"/>
    <x v="0"/>
    <x v="2"/>
    <x v="1159"/>
    <x v="2"/>
    <x v="2"/>
    <x v="0"/>
    <n v="1866.8"/>
  </r>
  <r>
    <s v="ORD201160"/>
    <x v="333"/>
    <x v="1149"/>
    <x v="6"/>
    <x v="2"/>
    <n v="541.64"/>
    <x v="367"/>
    <x v="0"/>
    <x v="0"/>
    <x v="1160"/>
    <x v="3"/>
    <x v="0"/>
    <x v="2"/>
    <n v="541.64"/>
  </r>
  <r>
    <s v="ORD201161"/>
    <x v="504"/>
    <x v="1150"/>
    <x v="1"/>
    <x v="2"/>
    <n v="11.39"/>
    <x v="283"/>
    <x v="4"/>
    <x v="1"/>
    <x v="1161"/>
    <x v="5"/>
    <x v="3"/>
    <x v="2"/>
    <n v="11.39"/>
  </r>
  <r>
    <s v="ORD201162"/>
    <x v="660"/>
    <x v="1151"/>
    <x v="1"/>
    <x v="1"/>
    <n v="224.37"/>
    <x v="639"/>
    <x v="0"/>
    <x v="3"/>
    <x v="1162"/>
    <x v="1"/>
    <x v="3"/>
    <x v="1"/>
    <n v="448.74"/>
  </r>
  <r>
    <s v="ORD201163"/>
    <x v="184"/>
    <x v="1152"/>
    <x v="5"/>
    <x v="4"/>
    <n v="306.29000000000002"/>
    <x v="640"/>
    <x v="2"/>
    <x v="2"/>
    <x v="1163"/>
    <x v="0"/>
    <x v="3"/>
    <x v="0"/>
    <n v="918.87000000000012"/>
  </r>
  <r>
    <s v="ORD201164"/>
    <x v="649"/>
    <x v="1153"/>
    <x v="2"/>
    <x v="0"/>
    <n v="315.57"/>
    <x v="416"/>
    <x v="0"/>
    <x v="3"/>
    <x v="1164"/>
    <x v="5"/>
    <x v="3"/>
    <x v="2"/>
    <n v="1577.85"/>
  </r>
  <r>
    <s v="ORD201165"/>
    <x v="328"/>
    <x v="1154"/>
    <x v="3"/>
    <x v="4"/>
    <n v="223.79"/>
    <x v="641"/>
    <x v="0"/>
    <x v="4"/>
    <x v="1165"/>
    <x v="1"/>
    <x v="2"/>
    <x v="4"/>
    <n v="671.37"/>
  </r>
  <r>
    <s v="ORD201166"/>
    <x v="48"/>
    <x v="1155"/>
    <x v="3"/>
    <x v="4"/>
    <n v="324.47000000000003"/>
    <x v="76"/>
    <x v="4"/>
    <x v="3"/>
    <x v="1166"/>
    <x v="4"/>
    <x v="3"/>
    <x v="2"/>
    <n v="973.41000000000008"/>
  </r>
  <r>
    <s v="ORD201167"/>
    <x v="661"/>
    <x v="1156"/>
    <x v="4"/>
    <x v="1"/>
    <n v="92.87"/>
    <x v="235"/>
    <x v="2"/>
    <x v="4"/>
    <x v="1167"/>
    <x v="3"/>
    <x v="1"/>
    <x v="3"/>
    <n v="185.74"/>
  </r>
  <r>
    <s v="ORD201168"/>
    <x v="505"/>
    <x v="1157"/>
    <x v="5"/>
    <x v="1"/>
    <n v="331.42"/>
    <x v="642"/>
    <x v="2"/>
    <x v="3"/>
    <x v="1168"/>
    <x v="5"/>
    <x v="3"/>
    <x v="4"/>
    <n v="662.84"/>
  </r>
  <r>
    <s v="ORD201169"/>
    <x v="662"/>
    <x v="1158"/>
    <x v="3"/>
    <x v="2"/>
    <n v="525.42999999999995"/>
    <x v="643"/>
    <x v="4"/>
    <x v="1"/>
    <x v="1169"/>
    <x v="7"/>
    <x v="0"/>
    <x v="0"/>
    <n v="525.42999999999995"/>
  </r>
  <r>
    <s v="ORD201170"/>
    <x v="567"/>
    <x v="1159"/>
    <x v="4"/>
    <x v="1"/>
    <n v="697.19"/>
    <x v="197"/>
    <x v="4"/>
    <x v="2"/>
    <x v="1170"/>
    <x v="0"/>
    <x v="1"/>
    <x v="2"/>
    <n v="1394.38"/>
  </r>
  <r>
    <s v="ORD201171"/>
    <x v="81"/>
    <x v="1160"/>
    <x v="1"/>
    <x v="3"/>
    <n v="518.4"/>
    <x v="644"/>
    <x v="2"/>
    <x v="3"/>
    <x v="1171"/>
    <x v="0"/>
    <x v="0"/>
    <x v="3"/>
    <n v="2073.6"/>
  </r>
  <r>
    <s v="ORD201172"/>
    <x v="496"/>
    <x v="1161"/>
    <x v="6"/>
    <x v="4"/>
    <n v="131.96"/>
    <x v="383"/>
    <x v="2"/>
    <x v="4"/>
    <x v="1172"/>
    <x v="2"/>
    <x v="2"/>
    <x v="0"/>
    <n v="395.88"/>
  </r>
  <r>
    <s v="ORD201173"/>
    <x v="449"/>
    <x v="1162"/>
    <x v="0"/>
    <x v="2"/>
    <n v="208.36"/>
    <x v="481"/>
    <x v="1"/>
    <x v="0"/>
    <x v="1173"/>
    <x v="4"/>
    <x v="1"/>
    <x v="2"/>
    <n v="208.36"/>
  </r>
  <r>
    <s v="ORD201174"/>
    <x v="110"/>
    <x v="1163"/>
    <x v="4"/>
    <x v="4"/>
    <n v="222.34"/>
    <x v="645"/>
    <x v="2"/>
    <x v="2"/>
    <x v="1174"/>
    <x v="3"/>
    <x v="3"/>
    <x v="2"/>
    <n v="667.02"/>
  </r>
  <r>
    <s v="ORD201175"/>
    <x v="663"/>
    <x v="1164"/>
    <x v="4"/>
    <x v="4"/>
    <n v="91.74"/>
    <x v="256"/>
    <x v="0"/>
    <x v="2"/>
    <x v="1175"/>
    <x v="2"/>
    <x v="1"/>
    <x v="1"/>
    <n v="275.22000000000003"/>
  </r>
  <r>
    <s v="ORD201176"/>
    <x v="340"/>
    <x v="1165"/>
    <x v="2"/>
    <x v="1"/>
    <n v="213.83"/>
    <x v="646"/>
    <x v="0"/>
    <x v="1"/>
    <x v="1176"/>
    <x v="7"/>
    <x v="3"/>
    <x v="2"/>
    <n v="427.66"/>
  </r>
  <r>
    <s v="ORD201177"/>
    <x v="664"/>
    <x v="1166"/>
    <x v="4"/>
    <x v="2"/>
    <n v="127.55"/>
    <x v="339"/>
    <x v="4"/>
    <x v="0"/>
    <x v="1177"/>
    <x v="1"/>
    <x v="0"/>
    <x v="1"/>
    <n v="127.55"/>
  </r>
  <r>
    <s v="ORD201178"/>
    <x v="50"/>
    <x v="1167"/>
    <x v="0"/>
    <x v="2"/>
    <n v="70.239999999999995"/>
    <x v="206"/>
    <x v="2"/>
    <x v="1"/>
    <x v="1178"/>
    <x v="4"/>
    <x v="1"/>
    <x v="4"/>
    <n v="70.239999999999995"/>
  </r>
  <r>
    <s v="ORD201179"/>
    <x v="124"/>
    <x v="1168"/>
    <x v="5"/>
    <x v="0"/>
    <n v="518.54999999999995"/>
    <x v="299"/>
    <x v="2"/>
    <x v="1"/>
    <x v="1179"/>
    <x v="5"/>
    <x v="3"/>
    <x v="0"/>
    <n v="2592.75"/>
  </r>
  <r>
    <s v="ORD201180"/>
    <x v="150"/>
    <x v="1169"/>
    <x v="3"/>
    <x v="3"/>
    <n v="298.36"/>
    <x v="395"/>
    <x v="0"/>
    <x v="4"/>
    <x v="1180"/>
    <x v="2"/>
    <x v="1"/>
    <x v="4"/>
    <n v="1193.44"/>
  </r>
  <r>
    <s v="ORD201181"/>
    <x v="152"/>
    <x v="1170"/>
    <x v="6"/>
    <x v="4"/>
    <n v="158.74"/>
    <x v="284"/>
    <x v="1"/>
    <x v="4"/>
    <x v="1181"/>
    <x v="0"/>
    <x v="1"/>
    <x v="0"/>
    <n v="476.22"/>
  </r>
  <r>
    <s v="ORD201182"/>
    <x v="554"/>
    <x v="1171"/>
    <x v="3"/>
    <x v="1"/>
    <n v="420.29"/>
    <x v="425"/>
    <x v="3"/>
    <x v="2"/>
    <x v="1182"/>
    <x v="1"/>
    <x v="0"/>
    <x v="4"/>
    <n v="840.58"/>
  </r>
  <r>
    <s v="ORD201183"/>
    <x v="228"/>
    <x v="1172"/>
    <x v="6"/>
    <x v="2"/>
    <n v="281.52"/>
    <x v="223"/>
    <x v="3"/>
    <x v="0"/>
    <x v="1183"/>
    <x v="5"/>
    <x v="3"/>
    <x v="1"/>
    <n v="281.52"/>
  </r>
  <r>
    <s v="ORD201184"/>
    <x v="610"/>
    <x v="1173"/>
    <x v="5"/>
    <x v="2"/>
    <n v="204.08"/>
    <x v="528"/>
    <x v="3"/>
    <x v="2"/>
    <x v="1184"/>
    <x v="4"/>
    <x v="2"/>
    <x v="4"/>
    <n v="204.08"/>
  </r>
  <r>
    <s v="ORD201185"/>
    <x v="665"/>
    <x v="1174"/>
    <x v="3"/>
    <x v="2"/>
    <n v="343.31"/>
    <x v="647"/>
    <x v="3"/>
    <x v="2"/>
    <x v="1185"/>
    <x v="5"/>
    <x v="0"/>
    <x v="4"/>
    <n v="343.31"/>
  </r>
  <r>
    <s v="ORD201186"/>
    <x v="134"/>
    <x v="1175"/>
    <x v="0"/>
    <x v="2"/>
    <n v="163.32"/>
    <x v="648"/>
    <x v="4"/>
    <x v="0"/>
    <x v="1186"/>
    <x v="5"/>
    <x v="3"/>
    <x v="3"/>
    <n v="163.32"/>
  </r>
  <r>
    <s v="ORD201187"/>
    <x v="206"/>
    <x v="1176"/>
    <x v="6"/>
    <x v="1"/>
    <n v="184.6"/>
    <x v="203"/>
    <x v="3"/>
    <x v="3"/>
    <x v="1187"/>
    <x v="0"/>
    <x v="3"/>
    <x v="2"/>
    <n v="369.2"/>
  </r>
  <r>
    <s v="ORD201188"/>
    <x v="47"/>
    <x v="1177"/>
    <x v="4"/>
    <x v="1"/>
    <n v="371.29"/>
    <x v="649"/>
    <x v="3"/>
    <x v="0"/>
    <x v="1188"/>
    <x v="3"/>
    <x v="3"/>
    <x v="3"/>
    <n v="742.58"/>
  </r>
  <r>
    <s v="ORD201189"/>
    <x v="666"/>
    <x v="1178"/>
    <x v="2"/>
    <x v="0"/>
    <n v="389.22"/>
    <x v="650"/>
    <x v="4"/>
    <x v="1"/>
    <x v="1189"/>
    <x v="0"/>
    <x v="2"/>
    <x v="1"/>
    <n v="1946.1"/>
  </r>
  <r>
    <s v="ORD201190"/>
    <x v="647"/>
    <x v="1179"/>
    <x v="6"/>
    <x v="4"/>
    <n v="616.39"/>
    <x v="651"/>
    <x v="2"/>
    <x v="0"/>
    <x v="1190"/>
    <x v="5"/>
    <x v="1"/>
    <x v="0"/>
    <n v="1849.17"/>
  </r>
  <r>
    <s v="ORD201191"/>
    <x v="441"/>
    <x v="1180"/>
    <x v="6"/>
    <x v="3"/>
    <n v="376.43"/>
    <x v="431"/>
    <x v="3"/>
    <x v="4"/>
    <x v="1191"/>
    <x v="3"/>
    <x v="3"/>
    <x v="0"/>
    <n v="1505.72"/>
  </r>
  <r>
    <s v="ORD201192"/>
    <x v="329"/>
    <x v="1181"/>
    <x v="3"/>
    <x v="4"/>
    <n v="432.85"/>
    <x v="183"/>
    <x v="1"/>
    <x v="4"/>
    <x v="1192"/>
    <x v="4"/>
    <x v="2"/>
    <x v="0"/>
    <n v="1298.55"/>
  </r>
  <r>
    <s v="ORD201193"/>
    <x v="667"/>
    <x v="1182"/>
    <x v="2"/>
    <x v="2"/>
    <n v="687.89"/>
    <x v="71"/>
    <x v="4"/>
    <x v="2"/>
    <x v="1193"/>
    <x v="9"/>
    <x v="1"/>
    <x v="2"/>
    <n v="687.89"/>
  </r>
  <r>
    <s v="ORD201194"/>
    <x v="614"/>
    <x v="1183"/>
    <x v="4"/>
    <x v="4"/>
    <n v="189.44"/>
    <x v="172"/>
    <x v="4"/>
    <x v="4"/>
    <x v="1194"/>
    <x v="4"/>
    <x v="1"/>
    <x v="2"/>
    <n v="568.31999999999994"/>
  </r>
  <r>
    <s v="ORD201195"/>
    <x v="643"/>
    <x v="1184"/>
    <x v="6"/>
    <x v="2"/>
    <n v="107.04"/>
    <x v="652"/>
    <x v="2"/>
    <x v="1"/>
    <x v="1195"/>
    <x v="5"/>
    <x v="1"/>
    <x v="4"/>
    <n v="107.04"/>
  </r>
  <r>
    <s v="ORD201196"/>
    <x v="668"/>
    <x v="1185"/>
    <x v="0"/>
    <x v="1"/>
    <n v="662.53"/>
    <x v="320"/>
    <x v="1"/>
    <x v="1"/>
    <x v="1196"/>
    <x v="3"/>
    <x v="2"/>
    <x v="3"/>
    <n v="1325.06"/>
  </r>
  <r>
    <s v="ORD201197"/>
    <x v="669"/>
    <x v="1186"/>
    <x v="2"/>
    <x v="1"/>
    <n v="436.84"/>
    <x v="3"/>
    <x v="1"/>
    <x v="3"/>
    <x v="1197"/>
    <x v="7"/>
    <x v="1"/>
    <x v="0"/>
    <n v="873.68"/>
  </r>
  <r>
    <s v="ORD201198"/>
    <x v="670"/>
    <x v="1187"/>
    <x v="3"/>
    <x v="3"/>
    <n v="262.52"/>
    <x v="653"/>
    <x v="0"/>
    <x v="1"/>
    <x v="1198"/>
    <x v="4"/>
    <x v="3"/>
    <x v="0"/>
    <n v="1050.08"/>
  </r>
  <r>
    <s v="ORD201199"/>
    <x v="236"/>
    <x v="1188"/>
    <x v="2"/>
    <x v="3"/>
    <n v="560.58000000000004"/>
    <x v="654"/>
    <x v="3"/>
    <x v="2"/>
    <x v="1199"/>
    <x v="5"/>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9E77E9-0989-44CC-B190-C47202D356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4:A5" firstHeaderRow="1" firstDataRow="1" firstDataCol="0"/>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ID" fld="2" subtotal="count" baseField="0" baseItem="0"/>
  </dataFields>
  <formats count="4">
    <format dxfId="1415">
      <pivotArea outline="0" collapsedLevelsAreSubtotals="1" fieldPosition="0"/>
    </format>
    <format dxfId="1414">
      <pivotArea outline="0" collapsedLevelsAreSubtotals="1" fieldPosition="0"/>
    </format>
    <format dxfId="1413">
      <pivotArea outline="0" collapsedLevelsAreSubtotals="1" fieldPosition="0"/>
    </format>
    <format dxfId="14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36CAF5-1BE3-49F5-B8DE-B68531F9A0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fieldListSortAscending="1">
  <location ref="C18:D26"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dataFields>
  <formats count="4">
    <format dxfId="1419">
      <pivotArea outline="0" collapsedLevelsAreSubtotals="1" fieldPosition="0"/>
    </format>
    <format dxfId="1418">
      <pivotArea outline="0" collapsedLevelsAreSubtotals="1" fieldPosition="0"/>
    </format>
    <format dxfId="1417">
      <pivotArea outline="0" collapsedLevelsAreSubtotals="1" fieldPosition="0"/>
    </format>
    <format dxfId="1416">
      <pivotArea outline="0" collapsedLevelsAreSubtotals="1" fieldPosition="0"/>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80528-5BBC-4645-BE43-C7D609AEEC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dataField="1"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UnitPrice" fld="5" subtotal="average" baseField="0" baseItem="0" numFmtId="165"/>
  </dataFields>
  <formats count="4">
    <format dxfId="1423">
      <pivotArea outline="0" collapsedLevelsAreSubtotals="1" fieldPosition="0"/>
    </format>
    <format dxfId="1422">
      <pivotArea outline="0" collapsedLevelsAreSubtotals="1" fieldPosition="0"/>
    </format>
    <format dxfId="1421">
      <pivotArea outline="0" collapsedLevelsAreSubtotals="1" fieldPosition="0"/>
    </format>
    <format dxfId="14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5D4274-4955-4D69-8004-61B8AA052A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C9:D15"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Price" fld="13" baseField="0" baseItem="0"/>
  </dataFields>
  <formats count="4">
    <format dxfId="1427">
      <pivotArea outline="0" collapsedLevelsAreSubtotals="1" fieldPosition="0"/>
    </format>
    <format dxfId="1426">
      <pivotArea outline="0" collapsedLevelsAreSubtotals="1" fieldPosition="0"/>
    </format>
    <format dxfId="1425">
      <pivotArea outline="0" collapsedLevelsAreSubtotals="1" fieldPosition="0"/>
    </format>
    <format dxfId="142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0583F-A35E-4049-8B75-F6B7C9B115B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I1:K7" firstHeaderRow="0"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showAll="0">
      <items count="11">
        <item x="9"/>
        <item x="7"/>
        <item x="1"/>
        <item x="4"/>
        <item x="3"/>
        <item x="5"/>
        <item x="0"/>
        <item x="2"/>
        <item x="6"/>
        <item x="8"/>
        <item t="default"/>
      </items>
    </pivotField>
    <pivotField showAll="0">
      <items count="5">
        <item x="1"/>
        <item x="0"/>
        <item x="2"/>
        <item x="3"/>
        <item t="default"/>
      </items>
    </pivotField>
    <pivotField axis="axisRow" showAll="0">
      <items count="6">
        <item x="2"/>
        <item x="3"/>
        <item x="4"/>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i>
    <i>
      <x v="1"/>
    </i>
    <i>
      <x v="2"/>
    </i>
    <i>
      <x v="3"/>
    </i>
    <i>
      <x v="4"/>
    </i>
    <i t="grand">
      <x/>
    </i>
  </rowItems>
  <colFields count="1">
    <field x="-2"/>
  </colFields>
  <colItems count="2">
    <i>
      <x/>
    </i>
    <i i="1">
      <x v="1"/>
    </i>
  </colItems>
  <dataFields count="2">
    <dataField name="Sum of Quantity" fld="4" baseField="0" baseItem="0"/>
    <dataField name="Sum of TotalPrice" fld="13" baseField="0" baseItem="0"/>
  </dataFields>
  <formats count="4">
    <format dxfId="1431">
      <pivotArea outline="0" collapsedLevelsAreSubtotals="1" fieldPosition="0"/>
    </format>
    <format dxfId="1430">
      <pivotArea outline="0" collapsedLevelsAreSubtotals="1" fieldPosition="0"/>
    </format>
    <format dxfId="1429">
      <pivotArea outline="0" collapsedLevelsAreSubtotals="1" fieldPosition="0"/>
    </format>
    <format dxfId="1428">
      <pivotArea outline="0" collapsedLevelsAreSubtotals="1" fieldPosition="0"/>
    </format>
  </format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226210-ABCA-44EB-8854-C5084AA84D6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F17:G22"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showAll="0">
      <items count="11">
        <item x="9"/>
        <item x="7"/>
        <item x="1"/>
        <item x="4"/>
        <item x="3"/>
        <item x="5"/>
        <item x="0"/>
        <item x="2"/>
        <item x="6"/>
        <item x="8"/>
        <item t="default"/>
      </items>
    </pivotField>
    <pivotField axis="axisRow" showAll="0">
      <items count="5">
        <item x="1"/>
        <item x="0"/>
        <item x="2"/>
        <item x="3"/>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Items count="1">
    <i/>
  </colItems>
  <dataFields count="1">
    <dataField name="Sum of TotalPrice" fld="13" baseField="0" baseItem="0"/>
  </dataFields>
  <formats count="4">
    <format dxfId="1435">
      <pivotArea outline="0" collapsedLevelsAreSubtotals="1" fieldPosition="0"/>
    </format>
    <format dxfId="1434">
      <pivotArea outline="0" collapsedLevelsAreSubtotals="1" fieldPosition="0"/>
    </format>
    <format dxfId="1433">
      <pivotArea outline="0" collapsedLevelsAreSubtotals="1" fieldPosition="0"/>
    </format>
    <format dxfId="1432">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11517C-784E-4A45-BF3D-0CA872DD00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C1:D7"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Quantity" fld="4" baseField="0" baseItem="0"/>
  </dataFields>
  <formats count="4">
    <format dxfId="1439">
      <pivotArea outline="0" collapsedLevelsAreSubtotals="1" fieldPosition="0"/>
    </format>
    <format dxfId="1438">
      <pivotArea outline="0" collapsedLevelsAreSubtotals="1" fieldPosition="0"/>
    </format>
    <format dxfId="1437">
      <pivotArea outline="0" collapsedLevelsAreSubtotals="1" fieldPosition="0"/>
    </format>
    <format dxfId="143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18B9C-58B2-46AD-9CF9-C043EC3AB4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items count="1201">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 t="default"/>
      </items>
    </pivotField>
    <pivotField dataField="1" showAll="0">
      <items count="11">
        <item x="9"/>
        <item x="7"/>
        <item x="1"/>
        <item x="4"/>
        <item x="3"/>
        <item x="5"/>
        <item x="0"/>
        <item x="2"/>
        <item x="6"/>
        <item x="8"/>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ItemsInCart" fld="10" baseField="0" baseItem="0"/>
  </dataFields>
  <formats count="4">
    <format dxfId="1443">
      <pivotArea outline="0" collapsedLevelsAreSubtotals="1" fieldPosition="0"/>
    </format>
    <format dxfId="1442">
      <pivotArea outline="0" collapsedLevelsAreSubtotals="1" fieldPosition="0"/>
    </format>
    <format dxfId="1441">
      <pivotArea outline="0" collapsedLevelsAreSubtotals="1" fieldPosition="0"/>
    </format>
    <format dxfId="14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4469AB-9E6C-4A68-AB2C-AC858D0084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13" baseField="0" baseItem="0"/>
  </dataFields>
  <formats count="4">
    <format dxfId="1447">
      <pivotArea outline="0" collapsedLevelsAreSubtotals="1" fieldPosition="0"/>
    </format>
    <format dxfId="1446">
      <pivotArea outline="0" collapsedLevelsAreSubtotals="1" fieldPosition="0"/>
    </format>
    <format dxfId="1445">
      <pivotArea outline="0" collapsedLevelsAreSubtotals="1" fieldPosition="0"/>
    </format>
    <format dxfId="14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C44BA4-A505-4EC7-84B5-3D67B8902E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dataField="1"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4" baseField="0" baseItem="0"/>
  </dataFields>
  <formats count="4">
    <format dxfId="1451">
      <pivotArea outline="0" collapsedLevelsAreSubtotals="1" fieldPosition="0"/>
    </format>
    <format dxfId="1450">
      <pivotArea outline="0" collapsedLevelsAreSubtotals="1" fieldPosition="0"/>
    </format>
    <format dxfId="1449">
      <pivotArea outline="0" collapsedLevelsAreSubtotals="1" fieldPosition="0"/>
    </format>
    <format dxfId="14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DF9BF8-FB6B-4403-8E40-D9F7EAF1D8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F1:G14"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baseField="0" baseItem="0"/>
  </dataFields>
  <formats count="4">
    <format dxfId="1455">
      <pivotArea outline="0" collapsedLevelsAreSubtotals="1" fieldPosition="0"/>
    </format>
    <format dxfId="1454">
      <pivotArea outline="0" collapsedLevelsAreSubtotals="1" fieldPosition="0"/>
    </format>
    <format dxfId="1453">
      <pivotArea outline="0" collapsedLevelsAreSubtotals="1" fieldPosition="0"/>
    </format>
    <format dxfId="1452">
      <pivotArea outline="0" collapsedLevelsAreSubtotals="1" fieldPosition="0"/>
    </format>
  </formats>
  <chartFormats count="9">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12"/>
          </reference>
        </references>
      </pivotArea>
    </chartFormat>
    <chartFormat chart="4" format="4">
      <pivotArea type="data" outline="0" fieldPosition="0">
        <references count="2">
          <reference field="4294967294" count="1" selected="0">
            <x v="0"/>
          </reference>
          <reference field="14" count="1" selected="0">
            <x v="8"/>
          </reference>
        </references>
      </pivotArea>
    </chartFormat>
    <chartFormat chart="4" format="5">
      <pivotArea type="data" outline="0" fieldPosition="0">
        <references count="2">
          <reference field="4294967294" count="1" selected="0">
            <x v="0"/>
          </reference>
          <reference field="14" count="1" selected="0">
            <x v="11"/>
          </reference>
        </references>
      </pivotArea>
    </chartFormat>
    <chartFormat chart="4" format="6">
      <pivotArea type="data" outline="0" fieldPosition="0">
        <references count="2">
          <reference field="4294967294" count="1" selected="0">
            <x v="0"/>
          </reference>
          <reference field="14" count="1" selected="0">
            <x v="10"/>
          </reference>
        </references>
      </pivotArea>
    </chartFormat>
    <chartFormat chart="4" format="7">
      <pivotArea type="data" outline="0" fieldPosition="0">
        <references count="2">
          <reference field="4294967294" count="1" selected="0">
            <x v="0"/>
          </reference>
          <reference field="14" count="1" selected="0">
            <x v="4"/>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4" format="9">
      <pivotArea type="data" outline="0" fieldPosition="0">
        <references count="2">
          <reference field="4294967294" count="1" selected="0">
            <x v="0"/>
          </reference>
          <reference field="14" count="1" selected="0">
            <x v="1"/>
          </reference>
        </references>
      </pivotArea>
    </chartFormat>
    <chartFormat chart="4" format="1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9CA9EA5-D7E9-49F0-8581-68EE3850D60A}" sourceName="Years (Date)">
  <pivotTables>
    <pivotTable tabId="2" name="PivotTable8"/>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81941503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964713-C23B-444A-A3EB-30380A2B0B3A}" sourceName="PaymentMethod">
  <pivotTables>
    <pivotTable tabId="2" name="PivotTable6"/>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s>
  <data>
    <tabular pivotCacheId="819415034">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966FBC4-4214-45EE-B47B-AFFBC8402961}" cache="Slicer_Years__Date" caption="Years (Date)" style="SlicerStyleLight6 2" rowHeight="182880"/>
  <slicer name="PaymentMethod" xr10:uid="{E2E3843E-4FC2-4DBC-87D3-398107E23FFB}" cache="Slicer_PaymentMethod" caption="PaymentMethod" style="SlicerStyleLight6 2"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D6172-9A83-497F-83DD-BF15DE11E11B}" name="Table1" displayName="Table1" ref="A1:N1201" totalsRowShown="0" headerRowDxfId="1459" headerRowBorderDxfId="1458" tableBorderDxfId="1457">
  <autoFilter ref="A1:N1201" xr:uid="{6F6D6172-9A83-497F-83DD-BF15DE11E11B}"/>
  <tableColumns count="14">
    <tableColumn id="1" xr3:uid="{CF124CCD-8ED1-4AAF-A872-B6215B59196C}" name="OrderID"/>
    <tableColumn id="2" xr3:uid="{9C0824FE-3CAF-44A3-BBC8-6EAC2441E264}" name="Date" dataDxfId="1456"/>
    <tableColumn id="3" xr3:uid="{368BA9EE-8B88-4E0C-9071-202E964B2251}" name="CustomerID"/>
    <tableColumn id="4" xr3:uid="{EB0F6CEA-707C-4139-8EB2-AC15284E99D7}" name="Product"/>
    <tableColumn id="5" xr3:uid="{FCA70EF5-914E-4503-BBDD-3B073B259D7A}" name="Quantity"/>
    <tableColumn id="6" xr3:uid="{3925C2E1-B579-4AFC-B9E5-7216E89FEFEC}" name="UnitPrice"/>
    <tableColumn id="7" xr3:uid="{10DA0E85-0876-41F5-9AC5-0349B8B18A5E}" name="ShippingAddress"/>
    <tableColumn id="8" xr3:uid="{1D6FCE37-5236-4DE9-8EC3-6B004DCE57BD}" name="PaymentMethod"/>
    <tableColumn id="9" xr3:uid="{35FB2456-240E-42DA-AED5-C25901741CA2}" name="OrderStatus"/>
    <tableColumn id="10" xr3:uid="{278081DB-6EF9-42AE-8A99-2D38954F6DEA}" name="TrackingNumber"/>
    <tableColumn id="11" xr3:uid="{6BEBBC23-F14D-41F8-A3A7-D34639C1EC9F}" name="ItemsInCart"/>
    <tableColumn id="12" xr3:uid="{64AC04A0-0577-4F8A-9CD4-EDE0E0C1415B}" name="CouponCode"/>
    <tableColumn id="13" xr3:uid="{315642F2-5EFB-478F-AAB0-CF1C3C7C935F}" name="ReferralSource"/>
    <tableColumn id="14" xr3:uid="{2BA66791-387C-45D9-9B0F-193284E82F17}"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B1" zoomScale="102" workbookViewId="0">
      <selection activeCell="L1" sqref="L1"/>
    </sheetView>
  </sheetViews>
  <sheetFormatPr defaultRowHeight="14.4" x14ac:dyDescent="0.3"/>
  <cols>
    <col min="1" max="1" width="10.6640625" bestFit="1" customWidth="1"/>
    <col min="2" max="2" width="10.33203125" bestFit="1" customWidth="1"/>
    <col min="3" max="3" width="12.77734375" customWidth="1"/>
    <col min="4" max="4" width="9.5546875" customWidth="1"/>
    <col min="5" max="5" width="10.21875" customWidth="1"/>
    <col min="6" max="6" width="10.5546875" customWidth="1"/>
    <col min="7" max="7" width="16.88671875" customWidth="1"/>
    <col min="8" max="8" width="17.21875" customWidth="1"/>
    <col min="9" max="9" width="12.88671875" customWidth="1"/>
    <col min="10" max="10" width="16.88671875" customWidth="1"/>
    <col min="11" max="11" width="12.6640625" customWidth="1"/>
    <col min="12" max="12" width="13.88671875" customWidth="1"/>
    <col min="13" max="13" width="15.21875" customWidth="1"/>
    <col min="14" max="14" width="11.2187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44930</v>
      </c>
      <c r="C2" t="s">
        <v>1214</v>
      </c>
      <c r="D2" t="s">
        <v>2403</v>
      </c>
      <c r="E2">
        <v>5</v>
      </c>
      <c r="F2">
        <v>570.62</v>
      </c>
      <c r="G2" t="s">
        <v>2410</v>
      </c>
      <c r="H2" t="s">
        <v>3065</v>
      </c>
      <c r="I2" t="s">
        <v>3070</v>
      </c>
      <c r="J2" t="s">
        <v>3075</v>
      </c>
      <c r="K2">
        <v>7</v>
      </c>
      <c r="L2" t="s">
        <v>4275</v>
      </c>
      <c r="M2" t="s">
        <v>4278</v>
      </c>
      <c r="N2">
        <v>2853.1</v>
      </c>
    </row>
    <row r="3" spans="1:14" x14ac:dyDescent="0.3">
      <c r="A3" t="s">
        <v>15</v>
      </c>
      <c r="B3" s="1">
        <v>45527</v>
      </c>
      <c r="C3" t="s">
        <v>1215</v>
      </c>
      <c r="D3" t="s">
        <v>2404</v>
      </c>
      <c r="E3">
        <v>2</v>
      </c>
      <c r="F3">
        <v>151.35</v>
      </c>
      <c r="G3" t="s">
        <v>2411</v>
      </c>
      <c r="H3" t="s">
        <v>3066</v>
      </c>
      <c r="I3" t="s">
        <v>3070</v>
      </c>
      <c r="J3" t="s">
        <v>3076</v>
      </c>
      <c r="K3">
        <v>3</v>
      </c>
      <c r="L3" t="s">
        <v>4275</v>
      </c>
      <c r="M3" t="s">
        <v>4279</v>
      </c>
      <c r="N3">
        <v>302.7</v>
      </c>
    </row>
    <row r="4" spans="1:14" x14ac:dyDescent="0.3">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1">
        <v>45214</v>
      </c>
      <c r="C5" t="s">
        <v>1217</v>
      </c>
      <c r="D5" t="s">
        <v>2406</v>
      </c>
      <c r="E5">
        <v>1</v>
      </c>
      <c r="F5">
        <v>273.19</v>
      </c>
      <c r="G5" t="s">
        <v>2413</v>
      </c>
      <c r="H5" t="s">
        <v>3065</v>
      </c>
      <c r="I5" t="s">
        <v>3072</v>
      </c>
      <c r="J5" t="s">
        <v>3078</v>
      </c>
      <c r="K5">
        <v>5</v>
      </c>
      <c r="L5" t="s">
        <v>4275</v>
      </c>
      <c r="M5" t="s">
        <v>4281</v>
      </c>
      <c r="N5">
        <v>273.19</v>
      </c>
    </row>
    <row r="6" spans="1:14" x14ac:dyDescent="0.3">
      <c r="A6" t="s">
        <v>18</v>
      </c>
      <c r="B6" s="1">
        <v>45785</v>
      </c>
      <c r="C6" t="s">
        <v>1218</v>
      </c>
      <c r="D6" t="s">
        <v>2407</v>
      </c>
      <c r="E6">
        <v>4</v>
      </c>
      <c r="F6">
        <v>626.01</v>
      </c>
      <c r="G6" t="s">
        <v>2414</v>
      </c>
      <c r="H6" t="s">
        <v>3066</v>
      </c>
      <c r="I6" t="s">
        <v>3073</v>
      </c>
      <c r="J6" t="s">
        <v>3079</v>
      </c>
      <c r="K6">
        <v>8</v>
      </c>
      <c r="L6" t="s">
        <v>4275</v>
      </c>
      <c r="M6" t="s">
        <v>4280</v>
      </c>
      <c r="N6">
        <v>2504.04</v>
      </c>
    </row>
    <row r="7" spans="1:14" x14ac:dyDescent="0.3">
      <c r="A7" t="s">
        <v>19</v>
      </c>
      <c r="B7" s="1">
        <v>45222</v>
      </c>
      <c r="C7" t="s">
        <v>1219</v>
      </c>
      <c r="D7" t="s">
        <v>2404</v>
      </c>
      <c r="E7">
        <v>2</v>
      </c>
      <c r="F7">
        <v>245.86</v>
      </c>
      <c r="G7" t="s">
        <v>2415</v>
      </c>
      <c r="H7" t="s">
        <v>3067</v>
      </c>
      <c r="I7" t="s">
        <v>3070</v>
      </c>
      <c r="J7" t="s">
        <v>3080</v>
      </c>
      <c r="K7">
        <v>4</v>
      </c>
      <c r="L7" t="s">
        <v>4275</v>
      </c>
      <c r="M7" t="s">
        <v>4278</v>
      </c>
      <c r="N7">
        <v>491.72</v>
      </c>
    </row>
    <row r="8" spans="1:14" x14ac:dyDescent="0.3">
      <c r="A8" t="s">
        <v>20</v>
      </c>
      <c r="B8" s="1">
        <v>45825</v>
      </c>
      <c r="C8" t="s">
        <v>1220</v>
      </c>
      <c r="D8" t="s">
        <v>2408</v>
      </c>
      <c r="E8">
        <v>1</v>
      </c>
      <c r="F8">
        <v>664.42</v>
      </c>
      <c r="G8" t="s">
        <v>2416</v>
      </c>
      <c r="H8" t="s">
        <v>3068</v>
      </c>
      <c r="I8" t="s">
        <v>3072</v>
      </c>
      <c r="J8" t="s">
        <v>3081</v>
      </c>
      <c r="K8">
        <v>6</v>
      </c>
      <c r="L8" t="s">
        <v>4275</v>
      </c>
      <c r="M8" t="s">
        <v>4281</v>
      </c>
      <c r="N8">
        <v>664.42</v>
      </c>
    </row>
    <row r="9" spans="1:14"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1">
        <v>45749</v>
      </c>
      <c r="C10" t="s">
        <v>1222</v>
      </c>
      <c r="D10" t="s">
        <v>2404</v>
      </c>
      <c r="E10">
        <v>2</v>
      </c>
      <c r="F10">
        <v>134.28</v>
      </c>
      <c r="G10" t="s">
        <v>2418</v>
      </c>
      <c r="H10" t="s">
        <v>3068</v>
      </c>
      <c r="I10" t="s">
        <v>3071</v>
      </c>
      <c r="J10" t="s">
        <v>3083</v>
      </c>
      <c r="K10">
        <v>2</v>
      </c>
      <c r="M10" t="s">
        <v>4280</v>
      </c>
      <c r="N10">
        <v>268.56</v>
      </c>
    </row>
    <row r="11" spans="1:14"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M33" t="s">
        <v>4281</v>
      </c>
      <c r="N33">
        <v>1500.24</v>
      </c>
    </row>
    <row r="34" spans="1:14" x14ac:dyDescent="0.3">
      <c r="A34" t="s">
        <v>46</v>
      </c>
      <c r="B34" s="1">
        <v>45047</v>
      </c>
      <c r="C34" t="s">
        <v>1246</v>
      </c>
      <c r="D34" t="s">
        <v>2405</v>
      </c>
      <c r="E34">
        <v>5</v>
      </c>
      <c r="F34">
        <v>536.72</v>
      </c>
      <c r="G34" t="s">
        <v>2442</v>
      </c>
      <c r="H34" t="s">
        <v>3069</v>
      </c>
      <c r="I34" t="s">
        <v>3073</v>
      </c>
      <c r="J34" t="s">
        <v>3107</v>
      </c>
      <c r="K34">
        <v>10</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M44" t="s">
        <v>4278</v>
      </c>
      <c r="N44">
        <v>303.32</v>
      </c>
    </row>
    <row r="45" spans="1:14" x14ac:dyDescent="0.3">
      <c r="A45" t="s">
        <v>57</v>
      </c>
      <c r="B45" s="1">
        <v>45274</v>
      </c>
      <c r="C45" t="s">
        <v>1257</v>
      </c>
      <c r="D45" t="s">
        <v>2406</v>
      </c>
      <c r="E45">
        <v>3</v>
      </c>
      <c r="F45">
        <v>499.21</v>
      </c>
      <c r="G45" t="s">
        <v>2452</v>
      </c>
      <c r="H45" t="s">
        <v>3066</v>
      </c>
      <c r="I45" t="s">
        <v>3071</v>
      </c>
      <c r="J45" t="s">
        <v>3118</v>
      </c>
      <c r="K45">
        <v>8</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M75" t="s">
        <v>4281</v>
      </c>
      <c r="N75">
        <v>1733.8</v>
      </c>
    </row>
    <row r="76" spans="1:14" x14ac:dyDescent="0.3">
      <c r="A76" t="s">
        <v>88</v>
      </c>
      <c r="B76" s="1">
        <v>45101</v>
      </c>
      <c r="C76" t="s">
        <v>1288</v>
      </c>
      <c r="D76" t="s">
        <v>2404</v>
      </c>
      <c r="E76">
        <v>5</v>
      </c>
      <c r="F76">
        <v>90.87</v>
      </c>
      <c r="G76" t="s">
        <v>2478</v>
      </c>
      <c r="H76" t="s">
        <v>3069</v>
      </c>
      <c r="I76" t="s">
        <v>3074</v>
      </c>
      <c r="J76" t="s">
        <v>3149</v>
      </c>
      <c r="K76">
        <v>5</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M97" t="s">
        <v>4279</v>
      </c>
      <c r="N97">
        <v>470.04</v>
      </c>
    </row>
    <row r="98" spans="1:14" x14ac:dyDescent="0.3">
      <c r="A98" t="s">
        <v>110</v>
      </c>
      <c r="B98" s="1">
        <v>45444</v>
      </c>
      <c r="C98" t="s">
        <v>1310</v>
      </c>
      <c r="D98" t="s">
        <v>2404</v>
      </c>
      <c r="E98">
        <v>2</v>
      </c>
      <c r="F98">
        <v>232.83</v>
      </c>
      <c r="G98" t="s">
        <v>2483</v>
      </c>
      <c r="H98" t="s">
        <v>3068</v>
      </c>
      <c r="I98" t="s">
        <v>3073</v>
      </c>
      <c r="J98" t="s">
        <v>3171</v>
      </c>
      <c r="K98">
        <v>7</v>
      </c>
      <c r="M98" t="s">
        <v>4278</v>
      </c>
      <c r="N98">
        <v>465.66</v>
      </c>
    </row>
    <row r="99" spans="1:14" x14ac:dyDescent="0.3">
      <c r="A99" t="s">
        <v>111</v>
      </c>
      <c r="B99" s="1">
        <v>45678</v>
      </c>
      <c r="C99" t="s">
        <v>1311</v>
      </c>
      <c r="D99" t="s">
        <v>2405</v>
      </c>
      <c r="E99">
        <v>5</v>
      </c>
      <c r="F99">
        <v>619.52</v>
      </c>
      <c r="G99" t="s">
        <v>2500</v>
      </c>
      <c r="H99" t="s">
        <v>3065</v>
      </c>
      <c r="I99" t="s">
        <v>3074</v>
      </c>
      <c r="J99" t="s">
        <v>3172</v>
      </c>
      <c r="K99">
        <v>9</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7E7C-0D0C-46BC-A062-1DD5E209E32C}">
  <dimension ref="A1:K26"/>
  <sheetViews>
    <sheetView workbookViewId="0">
      <selection activeCell="C9" sqref="C9"/>
    </sheetView>
  </sheetViews>
  <sheetFormatPr defaultRowHeight="14.4" x14ac:dyDescent="0.3"/>
  <cols>
    <col min="1" max="1" width="17.44140625" bestFit="1" customWidth="1"/>
    <col min="2" max="2" width="15.88671875" bestFit="1" customWidth="1"/>
    <col min="3" max="3" width="12.5546875" bestFit="1" customWidth="1"/>
    <col min="4" max="4" width="15.88671875" bestFit="1" customWidth="1"/>
    <col min="6" max="6" width="12.5546875" bestFit="1" customWidth="1"/>
    <col min="7" max="8" width="15.88671875" bestFit="1" customWidth="1"/>
    <col min="9" max="9" width="12.5546875" bestFit="1" customWidth="1"/>
    <col min="10" max="10" width="14.88671875" bestFit="1" customWidth="1"/>
    <col min="11" max="11" width="15.88671875" bestFit="1" customWidth="1"/>
  </cols>
  <sheetData>
    <row r="1" spans="1:11" x14ac:dyDescent="0.3">
      <c r="A1" t="s">
        <v>4288</v>
      </c>
      <c r="C1" s="4" t="s">
        <v>4283</v>
      </c>
      <c r="D1" t="s">
        <v>4286</v>
      </c>
      <c r="F1" s="4" t="s">
        <v>4283</v>
      </c>
      <c r="G1" t="s">
        <v>4287</v>
      </c>
      <c r="I1" s="4" t="s">
        <v>4283</v>
      </c>
      <c r="J1" t="s">
        <v>4286</v>
      </c>
      <c r="K1" t="s">
        <v>4287</v>
      </c>
    </row>
    <row r="2" spans="1:11" x14ac:dyDescent="0.3">
      <c r="A2" s="3">
        <v>356.41275000000007</v>
      </c>
      <c r="C2" s="5" t="s">
        <v>3071</v>
      </c>
      <c r="D2" s="3">
        <v>759</v>
      </c>
      <c r="F2" s="5" t="s">
        <v>4289</v>
      </c>
      <c r="G2" s="3">
        <v>124313.23000000005</v>
      </c>
      <c r="I2" s="5" t="s">
        <v>4280</v>
      </c>
      <c r="J2" s="3">
        <v>746</v>
      </c>
      <c r="K2" s="3">
        <v>261808.55000000002</v>
      </c>
    </row>
    <row r="3" spans="1:11" x14ac:dyDescent="0.3">
      <c r="C3" s="5" t="s">
        <v>3073</v>
      </c>
      <c r="D3" s="3">
        <v>690</v>
      </c>
      <c r="F3" s="5" t="s">
        <v>4290</v>
      </c>
      <c r="G3" s="3">
        <v>112344.77999999998</v>
      </c>
      <c r="I3" s="5" t="s">
        <v>4281</v>
      </c>
      <c r="J3" s="3">
        <v>674</v>
      </c>
      <c r="K3" s="3">
        <v>250410.9</v>
      </c>
    </row>
    <row r="4" spans="1:11" x14ac:dyDescent="0.3">
      <c r="A4" t="s">
        <v>4285</v>
      </c>
      <c r="C4" s="5" t="s">
        <v>3074</v>
      </c>
      <c r="D4" s="3">
        <v>724</v>
      </c>
      <c r="F4" s="5" t="s">
        <v>4291</v>
      </c>
      <c r="G4" s="3">
        <v>123840.92999999995</v>
      </c>
      <c r="I4" s="5" t="s">
        <v>4282</v>
      </c>
      <c r="J4" s="3">
        <v>714</v>
      </c>
      <c r="K4" s="3">
        <v>250441.47999999998</v>
      </c>
    </row>
    <row r="5" spans="1:11" x14ac:dyDescent="0.3">
      <c r="A5" s="3">
        <v>1200</v>
      </c>
      <c r="C5" s="5" t="s">
        <v>3072</v>
      </c>
      <c r="D5" s="3">
        <v>682</v>
      </c>
      <c r="F5" s="5" t="s">
        <v>4292</v>
      </c>
      <c r="G5" s="3">
        <v>109186.05</v>
      </c>
      <c r="I5" s="5" t="s">
        <v>4278</v>
      </c>
      <c r="J5" s="3">
        <v>770</v>
      </c>
      <c r="K5" s="3">
        <v>275285.45000000007</v>
      </c>
    </row>
    <row r="6" spans="1:11" x14ac:dyDescent="0.3">
      <c r="C6" s="5" t="s">
        <v>3070</v>
      </c>
      <c r="D6" s="3">
        <v>680</v>
      </c>
      <c r="F6" s="5" t="s">
        <v>4293</v>
      </c>
      <c r="G6" s="3">
        <v>135142.59</v>
      </c>
      <c r="I6" s="5" t="s">
        <v>4279</v>
      </c>
      <c r="J6" s="3">
        <v>631</v>
      </c>
      <c r="K6" s="3">
        <v>226815.5799999999</v>
      </c>
    </row>
    <row r="7" spans="1:11" x14ac:dyDescent="0.3">
      <c r="A7" t="s">
        <v>4286</v>
      </c>
      <c r="C7" s="5" t="s">
        <v>4284</v>
      </c>
      <c r="D7" s="3">
        <v>3535</v>
      </c>
      <c r="F7" s="5" t="s">
        <v>4294</v>
      </c>
      <c r="G7" s="3">
        <v>170616.13000000006</v>
      </c>
      <c r="I7" s="5" t="s">
        <v>4284</v>
      </c>
      <c r="J7" s="3">
        <v>3535</v>
      </c>
      <c r="K7" s="3">
        <v>1264761.96</v>
      </c>
    </row>
    <row r="8" spans="1:11" x14ac:dyDescent="0.3">
      <c r="A8" s="3">
        <v>3535</v>
      </c>
      <c r="F8" s="5" t="s">
        <v>4295</v>
      </c>
      <c r="G8" s="3">
        <v>85784.63999999997</v>
      </c>
    </row>
    <row r="9" spans="1:11" x14ac:dyDescent="0.3">
      <c r="C9" s="4" t="s">
        <v>4283</v>
      </c>
      <c r="D9" t="s">
        <v>4287</v>
      </c>
      <c r="F9" s="5" t="s">
        <v>4296</v>
      </c>
      <c r="G9" s="3">
        <v>86343.210000000036</v>
      </c>
    </row>
    <row r="10" spans="1:11" x14ac:dyDescent="0.3">
      <c r="A10" t="s">
        <v>4287</v>
      </c>
      <c r="C10" s="5" t="s">
        <v>3069</v>
      </c>
      <c r="D10" s="3">
        <v>259786.28999999992</v>
      </c>
      <c r="F10" s="5" t="s">
        <v>4297</v>
      </c>
      <c r="G10" s="3">
        <v>69321.650000000023</v>
      </c>
    </row>
    <row r="11" spans="1:11" x14ac:dyDescent="0.3">
      <c r="A11" s="3">
        <v>1264761.9600000004</v>
      </c>
      <c r="C11" s="5" t="s">
        <v>3067</v>
      </c>
      <c r="D11" s="3">
        <v>263847.62999999989</v>
      </c>
      <c r="F11" s="5" t="s">
        <v>4298</v>
      </c>
      <c r="G11" s="3">
        <v>89834.820000000022</v>
      </c>
    </row>
    <row r="12" spans="1:11" x14ac:dyDescent="0.3">
      <c r="C12" s="5" t="s">
        <v>3065</v>
      </c>
      <c r="D12" s="3">
        <v>232361.17999999996</v>
      </c>
      <c r="F12" s="5" t="s">
        <v>4299</v>
      </c>
      <c r="G12" s="3">
        <v>75493.430000000008</v>
      </c>
    </row>
    <row r="13" spans="1:11" x14ac:dyDescent="0.3">
      <c r="A13" t="s">
        <v>4301</v>
      </c>
      <c r="C13" s="5" t="s">
        <v>3068</v>
      </c>
      <c r="D13" s="3">
        <v>246323.9200000001</v>
      </c>
      <c r="F13" s="5" t="s">
        <v>4300</v>
      </c>
      <c r="G13" s="3">
        <v>82540.5</v>
      </c>
    </row>
    <row r="14" spans="1:11" x14ac:dyDescent="0.3">
      <c r="A14" s="3">
        <v>6582</v>
      </c>
      <c r="C14" s="5" t="s">
        <v>3066</v>
      </c>
      <c r="D14" s="3">
        <v>262442.94000000012</v>
      </c>
      <c r="F14" s="5" t="s">
        <v>4284</v>
      </c>
      <c r="G14" s="3">
        <v>1264761.96</v>
      </c>
    </row>
    <row r="15" spans="1:11" x14ac:dyDescent="0.3">
      <c r="C15" s="5" t="s">
        <v>4284</v>
      </c>
      <c r="D15" s="3">
        <v>1264761.96</v>
      </c>
    </row>
    <row r="17" spans="3:7" x14ac:dyDescent="0.3">
      <c r="F17" s="4" t="s">
        <v>4283</v>
      </c>
      <c r="G17" t="s">
        <v>4287</v>
      </c>
    </row>
    <row r="18" spans="3:7" x14ac:dyDescent="0.3">
      <c r="C18" s="4" t="s">
        <v>4283</v>
      </c>
      <c r="D18" t="s">
        <v>4287</v>
      </c>
      <c r="F18" s="5" t="s">
        <v>4276</v>
      </c>
      <c r="G18" s="3">
        <v>335036.99000000028</v>
      </c>
    </row>
    <row r="19" spans="3:7" x14ac:dyDescent="0.3">
      <c r="C19" s="5" t="s">
        <v>2406</v>
      </c>
      <c r="D19" s="3">
        <v>195620.11000000002</v>
      </c>
      <c r="F19" s="5" t="s">
        <v>4275</v>
      </c>
      <c r="G19" s="3">
        <v>304840.02</v>
      </c>
    </row>
    <row r="20" spans="3:7" x14ac:dyDescent="0.3">
      <c r="C20" s="5" t="s">
        <v>2409</v>
      </c>
      <c r="D20" s="3">
        <v>167459.93</v>
      </c>
      <c r="F20" s="5" t="s">
        <v>4302</v>
      </c>
      <c r="G20" s="3">
        <v>322401.40999999992</v>
      </c>
    </row>
    <row r="21" spans="3:7" x14ac:dyDescent="0.3">
      <c r="C21" s="5" t="s">
        <v>2408</v>
      </c>
      <c r="D21" s="3">
        <v>192126.55999999994</v>
      </c>
      <c r="F21" s="5" t="s">
        <v>4277</v>
      </c>
      <c r="G21" s="3">
        <v>302483.54000000021</v>
      </c>
    </row>
    <row r="22" spans="3:7" x14ac:dyDescent="0.3">
      <c r="C22" s="5" t="s">
        <v>2403</v>
      </c>
      <c r="D22" s="3">
        <v>175651.40999999997</v>
      </c>
      <c r="F22" s="5" t="s">
        <v>4284</v>
      </c>
      <c r="G22" s="3">
        <v>1264761.9600000004</v>
      </c>
    </row>
    <row r="23" spans="3:7" x14ac:dyDescent="0.3">
      <c r="C23" s="5" t="s">
        <v>2404</v>
      </c>
      <c r="D23" s="3">
        <v>151722.39000000001</v>
      </c>
    </row>
    <row r="24" spans="3:7" x14ac:dyDescent="0.3">
      <c r="C24" s="5" t="s">
        <v>2407</v>
      </c>
      <c r="D24" s="3">
        <v>195612.60999999996</v>
      </c>
    </row>
    <row r="25" spans="3:7" x14ac:dyDescent="0.3">
      <c r="C25" s="5" t="s">
        <v>2405</v>
      </c>
      <c r="D25" s="3">
        <v>186568.95000000007</v>
      </c>
    </row>
    <row r="26" spans="3:7" x14ac:dyDescent="0.3">
      <c r="C26" s="5" t="s">
        <v>4284</v>
      </c>
      <c r="D26" s="3">
        <v>1264761.96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9A806-6960-4A14-AC3D-B381D5C4E801}">
  <dimension ref="A1"/>
  <sheetViews>
    <sheetView tabSelected="1" zoomScale="110" zoomScaleNormal="118" workbookViewId="0">
      <selection activeCell="P10" sqref="P10"/>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65EFFF-509E-43F7-BDA5-673483338C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mohammed zohair</cp:lastModifiedBy>
  <dcterms:created xsi:type="dcterms:W3CDTF">2025-06-21T13:19:12Z</dcterms:created>
  <dcterms:modified xsi:type="dcterms:W3CDTF">2026-09-02T09:51:20Z</dcterms:modified>
</cp:coreProperties>
</file>